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mitr\PycharmProjects\langworld_db_data\langworld_db_data\xslm_vba\"/>
    </mc:Choice>
  </mc:AlternateContent>
  <xr:revisionPtr revIDLastSave="0" documentId="13_ncr:1_{022ACD82-8B28-40E8-97A9-ED1D268F0782}" xr6:coauthVersionLast="47" xr6:coauthVersionMax="47" xr10:uidLastSave="{00000000-0000-0000-0000-000000000000}"/>
  <bookViews>
    <workbookView xWindow="-108" yWindow="-108" windowWidth="23256" windowHeight="12576" xr2:uid="{6017ECAC-3CF7-4A36-98F0-4E6C6F24682C}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9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features!$A$1:$C$130</definedName>
    <definedName name="ExternalData_1" localSheetId="2" hidden="1">features_listed_values!$A$1:$D$1220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Dmitry Kolomatskiy</author>
  </authors>
  <commentList>
    <comment ref="C1" authorId="0" shapeId="0" xr:uid="{98291FFB-823B-46B4-B0A1-F711215A863E}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 xr:uid="{0F8D4DB6-2FDB-41F5-8C88-5C77FA5AE929}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 xr:uid="{098C9039-E306-4169-A530-66137A028D41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 xr:uid="{3FA9E14B-D30D-4858-8439-7A86EC471FEB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 xr:uid="{8437E7FF-0178-4C4F-AA93-D7688193E97D}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 xr:uid="{A839CE0B-44AB-422B-85D8-E36483483EF2}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7F7BF2-A473-4380-A02F-32A6357CD32E}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xr16:uid="{FBA83770-7747-47EC-AD5C-EE4D859A8C01}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xr16:uid="{BF635E95-C9CD-4E63-BA77-F3807903CAFE}" keepAlive="1" name="Подключение" type="5" refreshedVersion="0" background="1">
    <dbPr connection="Provider=Microsoft.Mashup.OleDb.1;Data Source=$Workbook$;Location=afrikaans;Extended Properties=&quot;&quot;" commandType="0"/>
  </connection>
  <connection id="4" xr16:uid="{6E7E5E6E-6E71-44A7-8874-28E7F20402DC}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xr16:uid="{A8E8D0EB-0B25-4456-9FC8-4BFECAABA4FD}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xr16:uid="{88B7F04B-7ED4-4671-8875-FA78F0B246B9}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xr16:uid="{C33AC0DC-775E-4BA9-98BE-B931F7AAD00B}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<sst xmlns="http://schemas.openxmlformats.org/spreadsheetml/2006/main" count="5412" uniqueCount="3903">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</sst>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Fill="1" applyProtection="1">
      <protection locked="0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vertical="center" wrapText="1"/>
    </xf>
    <xf numFmtId="0" fontId="0" fillId="0" borderId="0" xfId="0" applyFont="1" applyFill="1"/>
  </cellXfs>
  <cellStyles count="1">
    <cellStyle name="Обычный" xfId="0" builtinId="0"/>
  </cellStyles>
  <dxfs count="32">
    <dxf>
      <font>
        <b val="0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D7DC80C-8634-4C97-A3AC-1BE5852C8B11}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A49F0C-1E50-4FC1-89CB-04850A16F255}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256A52-DB74-41A4-A908-3D520FE327F2}" name="InputForm" displayName="InputForm" ref="A1:I131" totalsRowShown="0" headerRowDxfId="4" dataDxfId="3">
  <autoFilter ref="A1:I131" xr:uid="{0E256A52-DB74-41A4-A908-3D520FE327F2}"/>
  <tableColumns count="9">
    <tableColumn id="1" xr3:uid="{457990CB-72D1-4A75-8FCF-3AC4DA731EBE}" name="feature_id" dataDxfId="2"/>
    <tableColumn id="6" xr3:uid="{B564A933-8614-4421-8F3D-A91576A3097B}" name="Признак" dataDxfId="0">
      <calculatedColumnFormula>VLOOKUP(InputForm[[#This Row],[feature_id]],features[],3,FALSE)</calculatedColumnFormula>
    </tableColumn>
    <tableColumn id="5" xr3:uid="{758DB07E-AAEB-4140-92FB-84E3C3D8656B}" name="Тип значения" dataDxfId="1"/>
    <tableColumn id="9" xr3:uid="{41AEE745-4B3D-4590-9C5D-79D72D0468AE}" name="ValueID" dataDxfId="10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xr3:uid="{5931D2F4-A15F-47F6-8D84-4BF9F572D2EC}" name="Значение из списка (тип значения listed)" dataDxfId="9"/>
    <tableColumn id="7" xr3:uid="{5F7BB7C8-285A-41C6-9158-D2495372C753}" name="Значение не из фиксированного списка (тип значения custom)" dataDxfId="8"/>
    <tableColumn id="3" xr3:uid="{94920580-F6B3-466F-AABF-C357AC37B1EF}" name="Комментарий" dataDxfId="7"/>
    <tableColumn id="4" xr3:uid="{367BDEC8-B5FE-431F-8ADE-038C13DDFBDD}" name="Comment in English" dataDxfId="6"/>
    <tableColumn id="8" xr3:uid="{322F16FA-1B0D-4F27-943F-AAF0FDB23295}" name="Страницы" dataDxfId="5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C38D53-FA7B-4432-BE48-7CFB44D36BC1}" name="features" displayName="features" ref="A1:C130" tableType="queryTable" totalsRowShown="0">
  <autoFilter ref="A1:C130" xr:uid="{3EC38D53-FA7B-4432-BE48-7CFB44D36BC1}"/>
  <tableColumns count="3">
    <tableColumn id="1" xr3:uid="{829CAFB3-3CD7-4668-890F-3B7EBACF11FA}" uniqueName="1" name="id" queryTableFieldId="4" dataDxfId="16"/>
    <tableColumn id="2" xr3:uid="{7B7CCE14-3B6A-442B-93DB-A0ECA41AD87C}" uniqueName="2" name="en" queryTableFieldId="5" dataDxfId="15"/>
    <tableColumn id="3" xr3:uid="{BAC8D5C4-67A5-4C39-B00B-E11AFD4A2494}" uniqueName="3" name="ru" queryTableFieldId="6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2DC78-4F7A-4A0B-BFF7-A218BC99B51B}" name="features_listed_values" displayName="features_listed_values" ref="A1:D1220" tableType="queryTable" totalsRowShown="0">
  <autoFilter ref="A1:D1220" xr:uid="{D9E2DC78-4F7A-4A0B-BFF7-A218BC99B51B}"/>
  <tableColumns count="4">
    <tableColumn id="1" xr3:uid="{2D55301D-FE30-4A03-9D0F-356E096A019D}" uniqueName="1" name="id" queryTableFieldId="5" dataDxfId="13"/>
    <tableColumn id="2" xr3:uid="{CD3DCA3D-892F-4F56-98DF-ADC31B996D14}" uniqueName="2" name="feature_id" queryTableFieldId="6" dataDxfId="12"/>
    <tableColumn id="4" xr3:uid="{6BD656A1-3C73-46AE-99EB-347ED9D0589D}" uniqueName="4" name="ru" queryTableFieldId="8" dataDxfId="11"/>
    <tableColumn id="5" xr3:uid="{67A0AD21-4097-4E86-876D-97A1069B8E17}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00CB-BD19-4173-A906-3EB1F8352BC2}">
  <sheetPr codeName="Лист3">
    <tabColor theme="9" tint="0.79998168889431442"/>
  </sheetPr>
  <dimension ref="A1:I131"/>
  <sheetViews>
    <sheetView tabSelected="1" zoomScale="85" zoomScaleNormal="85" workbookViewId="0">
      <selection activeCell="B2" sqref="B2"/>
    </sheetView>
  </sheetViews>
  <sheetFormatPr defaultRowHeight="30" customHeight="1" x14ac:dyDescent="0.3"/>
  <cols>
    <col min="1" max="1" width="6" style="9" customWidth="1"/>
    <col min="2" max="2" width="43.109375" style="9" customWidth="1"/>
    <col min="3" max="3" width="12.6640625" style="3" customWidth="1"/>
    <col min="4" max="4" width="3.109375" style="3" customWidth="1"/>
    <col min="5" max="5" width="42.109375" style="3" customWidth="1"/>
    <col min="6" max="6" width="45.33203125" style="3" customWidth="1"/>
    <col min="7" max="7" width="50.33203125" style="3" customWidth="1"/>
    <col min="8" max="8" width="49.6640625" style="3" customWidth="1"/>
    <col min="9" max="9" width="12.5546875" style="3" bestFit="1" customWidth="1"/>
    <col min="10" max="16384" width="8.88671875" style="3"/>
  </cols>
  <sheetData>
    <row r="1" spans="1:9" ht="30" customHeight="1" x14ac:dyDescent="0.3">
      <c r="A1" s="7" t="s">
        <v>928</v>
      </c>
      <c r="B1" s="8" t="s">
        <v>697</v>
      </c>
      <c r="C1" s="2" t="s">
        <v>932</v>
      </c>
      <c r="D1" s="1" t="s">
        <v>936</v>
      </c>
      <c r="E1" s="2" t="s">
        <v>930</v>
      </c>
      <c r="F1" s="2" t="s">
        <v>931</v>
      </c>
      <c r="G1" s="2" t="s">
        <v>698</v>
      </c>
      <c r="H1" s="2" t="s">
        <v>934</v>
      </c>
      <c r="I1" s="1" t="s">
        <v>935</v>
      </c>
    </row>
    <row r="2" spans="1:9" ht="30" customHeight="1" x14ac:dyDescent="0.3">
      <c r="A2" s="7" t="s">
        <v>699</v>
      </c>
      <c r="B2" s="8" t="str">
        <f>VLOOKUP(InputForm[[#This Row],[feature_id]],features[],3,FALSE)</f>
        <v>Количество подъемов гласных</v>
      </c>
      <c r="C2" s="4"/>
      <c r="D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" s="5"/>
      <c r="F2" s="5"/>
      <c r="G2" s="5"/>
      <c r="H2" s="5"/>
      <c r="I2" s="6"/>
    </row>
    <row r="3" spans="1:9" ht="30" customHeight="1" x14ac:dyDescent="0.3">
      <c r="A3" s="7" t="s">
        <v>700</v>
      </c>
      <c r="B3" s="8" t="str">
        <f>VLOOKUP(InputForm[[#This Row],[feature_id]],features[],3,FALSE)</f>
        <v>Подъемы гласных</v>
      </c>
      <c r="C3" s="4"/>
      <c r="D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5"/>
      <c r="F3" s="5"/>
      <c r="G3" s="5"/>
      <c r="H3" s="5"/>
      <c r="I3" s="6"/>
    </row>
    <row r="4" spans="1:9" ht="30" customHeight="1" x14ac:dyDescent="0.3">
      <c r="A4" s="7" t="s">
        <v>702</v>
      </c>
      <c r="B4" s="8" t="str">
        <f>VLOOKUP(InputForm[[#This Row],[feature_id]],features[],3,FALSE)</f>
        <v>Противопоставление по открытости/закрытости в подъемах гласных</v>
      </c>
      <c r="C4" s="4"/>
      <c r="D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5"/>
      <c r="F4" s="5"/>
      <c r="G4" s="5"/>
      <c r="H4" s="5"/>
      <c r="I4" s="6"/>
    </row>
    <row r="5" spans="1:9" ht="30" customHeight="1" x14ac:dyDescent="0.3">
      <c r="A5" s="7" t="s">
        <v>704</v>
      </c>
      <c r="B5" s="9" t="str">
        <f>VLOOKUP(InputForm[[#This Row],[feature_id]],features[],3,FALSE)</f>
        <v>Ряды гласных</v>
      </c>
      <c r="C5" s="4"/>
      <c r="D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4"/>
      <c r="F5" s="4"/>
      <c r="G5" s="5"/>
      <c r="H5" s="4"/>
      <c r="I5" s="6"/>
    </row>
    <row r="6" spans="1:9" ht="30" customHeight="1" x14ac:dyDescent="0.3">
      <c r="A6" s="7" t="s">
        <v>706</v>
      </c>
      <c r="B6" s="9" t="str">
        <f>VLOOKUP(InputForm[[#This Row],[feature_id]],features[],3,FALSE)</f>
        <v>Наличие фонологических ступеней долготы</v>
      </c>
      <c r="C6" s="4"/>
      <c r="D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" s="4"/>
      <c r="F6" s="4"/>
      <c r="G6" s="5"/>
      <c r="H6" s="4"/>
      <c r="I6" s="6"/>
    </row>
    <row r="7" spans="1:9" ht="30" customHeight="1" x14ac:dyDescent="0.3">
      <c r="A7" s="7" t="s">
        <v>708</v>
      </c>
      <c r="B7" s="8" t="str">
        <f>VLOOKUP(InputForm[[#This Row],[feature_id]],features[],3,FALSE)</f>
        <v>Фонологические ступени долготы</v>
      </c>
      <c r="C7" s="4"/>
      <c r="D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5"/>
      <c r="F7" s="5"/>
      <c r="G7" s="5"/>
      <c r="H7" s="5"/>
      <c r="I7" s="6"/>
    </row>
    <row r="8" spans="1:9" ht="30" customHeight="1" x14ac:dyDescent="0.3">
      <c r="A8" s="7" t="s">
        <v>710</v>
      </c>
      <c r="B8" s="8" t="str">
        <f>VLOOKUP(InputForm[[#This Row],[feature_id]],features[],3,FALSE)</f>
        <v>Наличие противопоставления гласных по лабиализации</v>
      </c>
      <c r="C8" s="4"/>
      <c r="D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" s="5"/>
      <c r="F8" s="5"/>
      <c r="G8" s="5"/>
      <c r="H8" s="5"/>
      <c r="I8" s="6"/>
    </row>
    <row r="9" spans="1:9" ht="30" customHeight="1" x14ac:dyDescent="0.3">
      <c r="A9" s="7" t="s">
        <v>712</v>
      </c>
      <c r="B9" s="8" t="str">
        <f>VLOOKUP(InputForm[[#This Row],[feature_id]],features[],3,FALSE)</f>
        <v>Противопоставление гласных по лабиализации</v>
      </c>
      <c r="C9" s="4"/>
      <c r="D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5"/>
      <c r="F9" s="5"/>
      <c r="G9" s="5"/>
      <c r="H9" s="5"/>
      <c r="I9" s="6"/>
    </row>
    <row r="10" spans="1:9" ht="30" customHeight="1" x14ac:dyDescent="0.3">
      <c r="A10" s="7" t="s">
        <v>714</v>
      </c>
      <c r="B10" s="8" t="str">
        <f>VLOOKUP(InputForm[[#This Row],[feature_id]],features[],3,FALSE)</f>
        <v>Наличие противопоставления гласных по назализации</v>
      </c>
      <c r="C10" s="4"/>
      <c r="D1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" s="5"/>
      <c r="F10" s="5"/>
      <c r="G10" s="5"/>
      <c r="H10" s="5"/>
      <c r="I10" s="6"/>
    </row>
    <row r="11" spans="1:9" ht="30" customHeight="1" x14ac:dyDescent="0.3">
      <c r="A11" s="7" t="s">
        <v>716</v>
      </c>
      <c r="B11" s="8" t="str">
        <f>VLOOKUP(InputForm[[#This Row],[feature_id]],features[],3,FALSE)</f>
        <v>Противопоставление гласных по назализации</v>
      </c>
      <c r="C11" s="4"/>
      <c r="D1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5"/>
      <c r="F11" s="5"/>
      <c r="G11" s="5"/>
      <c r="H11" s="5"/>
      <c r="I11" s="6"/>
    </row>
    <row r="12" spans="1:9" ht="30" customHeight="1" x14ac:dyDescent="0.3">
      <c r="A12" s="7" t="s">
        <v>718</v>
      </c>
      <c r="B12" s="8" t="str">
        <f>VLOOKUP(InputForm[[#This Row],[feature_id]],features[],3,FALSE)</f>
        <v>Противопоставление гласных по фарингализации</v>
      </c>
      <c r="C12" s="4"/>
      <c r="D1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5"/>
      <c r="F12" s="5"/>
      <c r="G12" s="5"/>
      <c r="H12" s="5"/>
      <c r="I12" s="6"/>
    </row>
    <row r="13" spans="1:9" ht="30" customHeight="1" x14ac:dyDescent="0.3">
      <c r="A13" s="7" t="s">
        <v>720</v>
      </c>
      <c r="B13" s="8" t="str">
        <f>VLOOKUP(InputForm[[#This Row],[feature_id]],features[],3,FALSE)</f>
        <v>Противопоставление гласных по продвинутости корня языка</v>
      </c>
      <c r="C13" s="4"/>
      <c r="D1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5"/>
      <c r="F13" s="5"/>
      <c r="G13" s="5"/>
      <c r="H13" s="5"/>
      <c r="I13" s="6"/>
    </row>
    <row r="14" spans="1:9" ht="30" customHeight="1" x14ac:dyDescent="0.3">
      <c r="A14" s="7" t="s">
        <v>721</v>
      </c>
      <c r="B14" s="8" t="str">
        <f>VLOOKUP(InputForm[[#This Row],[feature_id]],features[],3,FALSE)</f>
        <v>Наличие дифтонгов и трифтонгов</v>
      </c>
      <c r="C14" s="4"/>
      <c r="D1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4" s="5"/>
      <c r="F14" s="5"/>
      <c r="G14" s="5"/>
      <c r="H14" s="5"/>
      <c r="I14" s="6"/>
    </row>
    <row r="15" spans="1:9" ht="30" customHeight="1" x14ac:dyDescent="0.3">
      <c r="A15" s="7" t="s">
        <v>722</v>
      </c>
      <c r="B15" s="8" t="str">
        <f>VLOOKUP(InputForm[[#This Row],[feature_id]],features[],3,FALSE)</f>
        <v>Типы дифтонгов</v>
      </c>
      <c r="C15" s="4"/>
      <c r="D1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5"/>
      <c r="F15" s="5"/>
      <c r="G15" s="5"/>
      <c r="H15" s="5"/>
      <c r="I15" s="6"/>
    </row>
    <row r="16" spans="1:9" ht="30" customHeight="1" x14ac:dyDescent="0.3">
      <c r="A16" s="7" t="s">
        <v>723</v>
      </c>
      <c r="B16" s="8" t="str">
        <f>VLOOKUP(InputForm[[#This Row],[feature_id]],features[],3,FALSE)</f>
        <v>Инвентарь шумных согласных по ларингальным признакам</v>
      </c>
      <c r="C16" s="4"/>
      <c r="D1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5"/>
      <c r="F16" s="5"/>
      <c r="G16" s="5"/>
      <c r="H16" s="5"/>
      <c r="I16" s="6"/>
    </row>
    <row r="17" spans="1:9" ht="30" customHeight="1" x14ac:dyDescent="0.3">
      <c r="A17" s="7" t="s">
        <v>725</v>
      </c>
      <c r="B17" s="8" t="str">
        <f>VLOOKUP(InputForm[[#This Row],[feature_id]],features[],3,FALSE)</f>
        <v>Типы шумных согласных по способу артикуляции</v>
      </c>
      <c r="C17" s="4"/>
      <c r="D1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7" s="5"/>
      <c r="F17" s="5"/>
      <c r="G17" s="5"/>
      <c r="H17" s="5"/>
      <c r="I17" s="6"/>
    </row>
    <row r="18" spans="1:9" ht="30" customHeight="1" x14ac:dyDescent="0.3">
      <c r="A18" s="7" t="s">
        <v>726</v>
      </c>
      <c r="B18" s="8" t="str">
        <f>VLOOKUP(InputForm[[#This Row],[feature_id]],features[],3,FALSE)</f>
        <v>Типы шумных согласных по месту образования</v>
      </c>
      <c r="C18" s="4"/>
      <c r="D1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8" s="5"/>
      <c r="F18" s="5"/>
      <c r="G18" s="5"/>
      <c r="H18" s="5"/>
      <c r="I18" s="6"/>
    </row>
    <row r="19" spans="1:9" ht="30" customHeight="1" x14ac:dyDescent="0.3">
      <c r="A19" s="7" t="s">
        <v>727</v>
      </c>
      <c r="B19" s="8" t="str">
        <f>VLOOKUP(InputForm[[#This Row],[feature_id]],features[],3,FALSE)</f>
        <v>Типы шумных губных согласных по месту образования</v>
      </c>
      <c r="C19" s="4"/>
      <c r="D1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9" s="5"/>
      <c r="F19" s="5"/>
      <c r="G19" s="5"/>
      <c r="H19" s="5"/>
      <c r="I19" s="6"/>
    </row>
    <row r="20" spans="1:9" ht="30" customHeight="1" x14ac:dyDescent="0.3">
      <c r="A20" s="7" t="s">
        <v>729</v>
      </c>
      <c r="B20" s="8" t="str">
        <f>VLOOKUP(InputForm[[#This Row],[feature_id]],features[],3,FALSE)</f>
        <v>Шумные переднеязычные согласные по месту образования</v>
      </c>
      <c r="C20" s="4"/>
      <c r="D2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5"/>
      <c r="F20" s="5"/>
      <c r="G20" s="5"/>
      <c r="H20" s="5"/>
      <c r="I20" s="6"/>
    </row>
    <row r="21" spans="1:9" ht="30" customHeight="1" x14ac:dyDescent="0.3">
      <c r="A21" s="7" t="s">
        <v>731</v>
      </c>
      <c r="B21" s="8" t="str">
        <f>VLOOKUP(InputForm[[#This Row],[feature_id]],features[],3,FALSE)</f>
        <v>Типы шумных велярных и увулярных согласных по месту образования</v>
      </c>
      <c r="C21" s="4"/>
      <c r="D2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1" s="5"/>
      <c r="F21" s="5"/>
      <c r="G21" s="5"/>
      <c r="H21" s="5"/>
      <c r="I21" s="6"/>
    </row>
    <row r="22" spans="1:9" ht="30" customHeight="1" x14ac:dyDescent="0.3">
      <c r="A22" s="7" t="s">
        <v>733</v>
      </c>
      <c r="B22" s="8" t="str">
        <f>VLOOKUP(InputForm[[#This Row],[feature_id]],features[],3,FALSE)</f>
        <v>Типы шумных ларингальных согласных по месту образования</v>
      </c>
      <c r="C22" s="4"/>
      <c r="D2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2" s="5"/>
      <c r="F22" s="5"/>
      <c r="G22" s="5"/>
      <c r="H22" s="5"/>
      <c r="I22" s="6"/>
    </row>
    <row r="23" spans="1:9" ht="30" customHeight="1" x14ac:dyDescent="0.3">
      <c r="A23" s="7" t="s">
        <v>3600</v>
      </c>
      <c r="B23" s="8" t="str">
        <f>VLOOKUP(InputForm[[#This Row],[feature_id]],features[],3,FALSE)</f>
        <v>Дополнительные артикуляционные противопоставления шумных согласных</v>
      </c>
      <c r="C23" s="4"/>
      <c r="D2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3" s="5"/>
      <c r="F23" s="5"/>
      <c r="G23" s="5"/>
      <c r="H23" s="5"/>
      <c r="I23" s="6"/>
    </row>
    <row r="24" spans="1:9" ht="30" customHeight="1" x14ac:dyDescent="0.3">
      <c r="A24" s="7" t="s">
        <v>3601</v>
      </c>
      <c r="B24" s="8" t="str">
        <f>VLOOKUP(InputForm[[#This Row],[feature_id]],features[],3,FALSE)</f>
        <v>Инвентарь сонорных согласных по способу артикуляции</v>
      </c>
      <c r="C24" s="4"/>
      <c r="D2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5"/>
      <c r="F24" s="5"/>
      <c r="G24" s="5"/>
      <c r="H24" s="5"/>
      <c r="I24" s="6"/>
    </row>
    <row r="25" spans="1:9" ht="30" customHeight="1" x14ac:dyDescent="0.3">
      <c r="A25" s="7" t="s">
        <v>3602</v>
      </c>
      <c r="B25" s="8" t="str">
        <f>VLOOKUP(InputForm[[#This Row],[feature_id]],features[],3,FALSE)</f>
        <v>Инвентарь сонорных согласных по месту образования</v>
      </c>
      <c r="C25" s="4"/>
      <c r="D2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5"/>
      <c r="F25" s="5"/>
      <c r="G25" s="5"/>
      <c r="H25" s="5"/>
      <c r="I25" s="6"/>
    </row>
    <row r="26" spans="1:9" ht="30" customHeight="1" x14ac:dyDescent="0.3">
      <c r="A26" s="7" t="s">
        <v>3603</v>
      </c>
      <c r="B26" s="8" t="str">
        <f>VLOOKUP(InputForm[[#This Row],[feature_id]],features[],3,FALSE)</f>
        <v>Дополнительные противопоставления сонорных согласных</v>
      </c>
      <c r="C26" s="4"/>
      <c r="D2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5"/>
      <c r="F26" s="5"/>
      <c r="G26" s="5"/>
      <c r="H26" s="5"/>
      <c r="I26" s="6"/>
    </row>
    <row r="27" spans="1:9" ht="30" customHeight="1" x14ac:dyDescent="0.3">
      <c r="A27" s="7" t="s">
        <v>3604</v>
      </c>
      <c r="B27" s="8" t="str">
        <f>VLOOKUP(InputForm[[#This Row],[feature_id]],features[],3,FALSE)</f>
        <v>Инвентарь фрикативных согласных по месту образования</v>
      </c>
      <c r="C27" s="4"/>
      <c r="D2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5"/>
      <c r="F27" s="5"/>
      <c r="G27" s="5"/>
      <c r="H27" s="5"/>
      <c r="I27" s="6"/>
    </row>
    <row r="28" spans="1:9" ht="30" customHeight="1" x14ac:dyDescent="0.3">
      <c r="A28" s="7" t="s">
        <v>735</v>
      </c>
      <c r="B28" s="8" t="str">
        <f>VLOOKUP(InputForm[[#This Row],[feature_id]],features[],3,FALSE)</f>
        <v>Тип ударения</v>
      </c>
      <c r="C28" s="4"/>
      <c r="D2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5"/>
      <c r="F28" s="5"/>
      <c r="G28" s="5"/>
      <c r="H28" s="5"/>
      <c r="I28" s="6"/>
    </row>
    <row r="29" spans="1:9" ht="30" customHeight="1" x14ac:dyDescent="0.3">
      <c r="A29" s="7" t="s">
        <v>737</v>
      </c>
      <c r="B29" s="8" t="str">
        <f>VLOOKUP(InputForm[[#This Row],[feature_id]],features[],3,FALSE)</f>
        <v>Вид ударения</v>
      </c>
      <c r="C29" s="4"/>
      <c r="D2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5"/>
      <c r="F29" s="5"/>
      <c r="G29" s="5"/>
      <c r="H29" s="5"/>
      <c r="I29" s="6"/>
    </row>
    <row r="30" spans="1:9" ht="30" customHeight="1" x14ac:dyDescent="0.3">
      <c r="A30" s="7" t="s">
        <v>739</v>
      </c>
      <c r="B30" s="8" t="str">
        <f>VLOOKUP(InputForm[[#This Row],[feature_id]],features[],3,FALSE)</f>
        <v>Носитель ударения</v>
      </c>
      <c r="C30" s="4"/>
      <c r="D3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5"/>
      <c r="F30" s="5"/>
      <c r="G30" s="5"/>
      <c r="H30" s="5"/>
      <c r="I30" s="6"/>
    </row>
    <row r="31" spans="1:9" ht="30" customHeight="1" x14ac:dyDescent="0.3">
      <c r="A31" s="7" t="s">
        <v>741</v>
      </c>
      <c r="B31" s="8" t="str">
        <f>VLOOKUP(InputForm[[#This Row],[feature_id]],features[],3,FALSE)</f>
        <v>Фиксированность ударения</v>
      </c>
      <c r="C31" s="4"/>
      <c r="D3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5"/>
      <c r="F31" s="5"/>
      <c r="G31" s="5"/>
      <c r="H31" s="5"/>
      <c r="I31" s="6"/>
    </row>
    <row r="32" spans="1:9" ht="30" customHeight="1" x14ac:dyDescent="0.3">
      <c r="A32" s="7" t="s">
        <v>743</v>
      </c>
      <c r="B32" s="8" t="str">
        <f>VLOOKUP(InputForm[[#This Row],[feature_id]],features[],3,FALSE)</f>
        <v>Носитель фиксированного ударения в слове</v>
      </c>
      <c r="C32" s="4"/>
      <c r="D3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5"/>
      <c r="F32" s="5"/>
      <c r="G32" s="5"/>
      <c r="H32" s="5"/>
      <c r="I32" s="6"/>
    </row>
    <row r="33" spans="1:9" ht="30" customHeight="1" x14ac:dyDescent="0.3">
      <c r="A33" s="7" t="s">
        <v>745</v>
      </c>
      <c r="B33" s="8" t="str">
        <f>VLOOKUP(InputForm[[#This Row],[feature_id]],features[],3,FALSE)</f>
        <v>Количество уровней тонов</v>
      </c>
      <c r="C33" s="4"/>
      <c r="D3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5"/>
      <c r="F33" s="5"/>
      <c r="G33" s="5"/>
      <c r="H33" s="5"/>
      <c r="I33" s="6"/>
    </row>
    <row r="34" spans="1:9" ht="30" customHeight="1" x14ac:dyDescent="0.3">
      <c r="A34" s="7" t="s">
        <v>747</v>
      </c>
      <c r="B34" s="8" t="str">
        <f>VLOOKUP(InputForm[[#This Row],[feature_id]],features[],3,FALSE)</f>
        <v>Контурные признаки тона</v>
      </c>
      <c r="C34" s="4"/>
      <c r="D3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5"/>
      <c r="F34" s="5"/>
      <c r="G34" s="5"/>
      <c r="H34" s="5"/>
      <c r="I34" s="6"/>
    </row>
    <row r="35" spans="1:9" ht="30" customHeight="1" x14ac:dyDescent="0.3">
      <c r="A35" s="7" t="s">
        <v>749</v>
      </c>
      <c r="B35" s="8" t="str">
        <f>VLOOKUP(InputForm[[#This Row],[feature_id]],features[],3,FALSE)</f>
        <v>Носитель тона</v>
      </c>
      <c r="C35" s="4"/>
      <c r="D3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5"/>
      <c r="F35" s="5"/>
      <c r="G35" s="5"/>
      <c r="H35" s="5"/>
      <c r="I35" s="6"/>
    </row>
    <row r="36" spans="1:9" ht="30" customHeight="1" x14ac:dyDescent="0.3">
      <c r="A36" s="7" t="s">
        <v>751</v>
      </c>
      <c r="B36" s="8" t="str">
        <f>VLOOKUP(InputForm[[#This Row],[feature_id]],features[],3,FALSE)</f>
        <v>Характер долготы</v>
      </c>
      <c r="C36" s="4"/>
      <c r="D3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5"/>
      <c r="F36" s="5"/>
      <c r="G36" s="5"/>
      <c r="H36" s="5"/>
      <c r="I36" s="6"/>
    </row>
    <row r="37" spans="1:9" ht="30" customHeight="1" x14ac:dyDescent="0.3">
      <c r="A37" s="7" t="s">
        <v>753</v>
      </c>
      <c r="B37" s="8" t="str">
        <f>VLOOKUP(InputForm[[#This Row],[feature_id]],features[],3,FALSE)</f>
        <v>Область гармонического уподобления гласных</v>
      </c>
      <c r="C37" s="4"/>
      <c r="D3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5"/>
      <c r="F37" s="5"/>
      <c r="G37" s="5"/>
      <c r="H37" s="5"/>
      <c r="I37" s="6"/>
    </row>
    <row r="38" spans="1:9" ht="30" customHeight="1" x14ac:dyDescent="0.3">
      <c r="A38" s="7" t="s">
        <v>755</v>
      </c>
      <c r="B38" s="8" t="str">
        <f>VLOOKUP(InputForm[[#This Row],[feature_id]],features[],3,FALSE)</f>
        <v>Признак гармонического уподобления гласных</v>
      </c>
      <c r="C38" s="4"/>
      <c r="D3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5"/>
      <c r="F38" s="5"/>
      <c r="G38" s="5"/>
      <c r="H38" s="5"/>
      <c r="I38" s="6"/>
    </row>
    <row r="39" spans="1:9" ht="30" customHeight="1" x14ac:dyDescent="0.3">
      <c r="A39" s="7" t="s">
        <v>757</v>
      </c>
      <c r="B39" s="8" t="str">
        <f>VLOOKUP(InputForm[[#This Row],[feature_id]],features[],3,FALSE)</f>
        <v>Уподобляющий элемент при гармоническом уподоблении гласных</v>
      </c>
      <c r="C39" s="4"/>
      <c r="D3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5"/>
      <c r="F39" s="5"/>
      <c r="G39" s="5"/>
      <c r="H39" s="5"/>
      <c r="I39" s="6"/>
    </row>
    <row r="40" spans="1:9" ht="30" customHeight="1" x14ac:dyDescent="0.3">
      <c r="A40" s="7" t="s">
        <v>759</v>
      </c>
      <c r="B40" s="8" t="str">
        <f>VLOOKUP(InputForm[[#This Row],[feature_id]],features[],3,FALSE)</f>
        <v>Прочие супрасегментные явления</v>
      </c>
      <c r="C40" s="4"/>
      <c r="D4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5"/>
      <c r="F40" s="5"/>
      <c r="G40" s="5"/>
      <c r="H40" s="5"/>
      <c r="I40" s="6"/>
    </row>
    <row r="41" spans="1:9" ht="30" customHeight="1" x14ac:dyDescent="0.3">
      <c r="A41" s="7" t="s">
        <v>761</v>
      </c>
      <c r="B41" s="8" t="str">
        <f>VLOOKUP(InputForm[[#This Row],[feature_id]],features[],3,FALSE)</f>
        <v>Типы фонации</v>
      </c>
      <c r="C41" s="4"/>
      <c r="D4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5"/>
      <c r="F41" s="5"/>
      <c r="G41" s="5"/>
      <c r="H41" s="5"/>
      <c r="I41" s="6"/>
    </row>
    <row r="42" spans="1:9" ht="30" customHeight="1" x14ac:dyDescent="0.3">
      <c r="A42" s="7" t="s">
        <v>763</v>
      </c>
      <c r="B42" s="8" t="str">
        <f>VLOOKUP(InputForm[[#This Row],[feature_id]],features[],3,FALSE)</f>
        <v>Начальный согласный в слоге</v>
      </c>
      <c r="C42" s="4"/>
      <c r="D4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5"/>
      <c r="F42" s="5"/>
      <c r="G42" s="5"/>
      <c r="H42" s="5"/>
      <c r="I42" s="6"/>
    </row>
    <row r="43" spans="1:9" ht="30" customHeight="1" x14ac:dyDescent="0.3">
      <c r="A43" s="7" t="s">
        <v>765</v>
      </c>
      <c r="B43" s="8" t="str">
        <f>VLOOKUP(InputForm[[#This Row],[feature_id]],features[],3,FALSE)</f>
        <v>Конечный согласный в слоге</v>
      </c>
      <c r="C43" s="4"/>
      <c r="D4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5"/>
      <c r="F43" s="5"/>
      <c r="G43" s="5"/>
      <c r="H43" s="5"/>
      <c r="I43" s="6"/>
    </row>
    <row r="44" spans="1:9" ht="30" customHeight="1" x14ac:dyDescent="0.3">
      <c r="A44" s="7" t="s">
        <v>767</v>
      </c>
      <c r="B44" s="8" t="str">
        <f>VLOOKUP(InputForm[[#This Row],[feature_id]],features[],3,FALSE)</f>
        <v>Ограничения на фонемную структуру сегментных морфем в начальной позиции</v>
      </c>
      <c r="C44" s="4"/>
      <c r="D4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5"/>
      <c r="F44" s="5"/>
      <c r="G44" s="5"/>
      <c r="H44" s="5"/>
      <c r="I44" s="6"/>
    </row>
    <row r="45" spans="1:9" ht="30" customHeight="1" x14ac:dyDescent="0.3">
      <c r="A45" s="7" t="s">
        <v>769</v>
      </c>
      <c r="B45" s="8" t="str">
        <f>VLOOKUP(InputForm[[#This Row],[feature_id]],features[],3,FALSE)</f>
        <v>Ограничения на фонемную структуру сегментных морфем в конечной позиции</v>
      </c>
      <c r="C45" s="4"/>
      <c r="D4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5"/>
      <c r="F45" s="5"/>
      <c r="G45" s="5"/>
      <c r="H45" s="5"/>
      <c r="I45" s="6"/>
    </row>
    <row r="46" spans="1:9" ht="30" customHeight="1" x14ac:dyDescent="0.3">
      <c r="A46" s="7" t="s">
        <v>771</v>
      </c>
      <c r="B46" s="8" t="str">
        <f>VLOOKUP(InputForm[[#This Row],[feature_id]],features[],3,FALSE)</f>
        <v>Особенности слогового состава слова</v>
      </c>
      <c r="C46" s="4"/>
      <c r="D4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5"/>
      <c r="F46" s="5"/>
      <c r="G46" s="5"/>
      <c r="H46" s="5"/>
      <c r="I46" s="6"/>
    </row>
    <row r="47" spans="1:9" ht="30" customHeight="1" x14ac:dyDescent="0.3">
      <c r="A47" s="7" t="s">
        <v>773</v>
      </c>
      <c r="B47" s="8" t="str">
        <f>VLOOKUP(InputForm[[#This Row],[feature_id]],features[],3,FALSE)</f>
        <v>Различия между знаменательными и служебными словами</v>
      </c>
      <c r="C47" s="4"/>
      <c r="D4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5"/>
      <c r="F47" s="5"/>
      <c r="G47" s="5"/>
      <c r="H47" s="5"/>
      <c r="I47" s="6"/>
    </row>
    <row r="48" spans="1:9" ht="30" customHeight="1" x14ac:dyDescent="0.3">
      <c r="A48" s="7" t="s">
        <v>775</v>
      </c>
      <c r="B48" s="8" t="str">
        <f>VLOOKUP(InputForm[[#This Row],[feature_id]],features[],3,FALSE)</f>
        <v>Различия между исконными и заимствованными словами</v>
      </c>
      <c r="C48" s="4"/>
      <c r="D4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5"/>
      <c r="F48" s="5"/>
      <c r="G48" s="5"/>
      <c r="H48" s="5"/>
      <c r="I48" s="6"/>
    </row>
    <row r="49" spans="1:9" ht="30" customHeight="1" x14ac:dyDescent="0.3">
      <c r="A49" s="7" t="s">
        <v>777</v>
      </c>
      <c r="B49" s="8" t="str">
        <f>VLOOKUP(InputForm[[#This Row],[feature_id]],features[],3,FALSE)</f>
        <v>Различия между корневыми и аффиксальными морфемами</v>
      </c>
      <c r="C49" s="4"/>
      <c r="D4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5"/>
      <c r="F49" s="5"/>
      <c r="G49" s="5"/>
      <c r="H49" s="5"/>
      <c r="I49" s="6"/>
    </row>
    <row r="50" spans="1:9" ht="30" customHeight="1" x14ac:dyDescent="0.3">
      <c r="A50" s="7" t="s">
        <v>779</v>
      </c>
      <c r="B50" s="8" t="str">
        <f>VLOOKUP(InputForm[[#This Row],[feature_id]],features[],3,FALSE)</f>
        <v>Функциональный тип чередований</v>
      </c>
      <c r="C50" s="4"/>
      <c r="D5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5"/>
      <c r="F50" s="5"/>
      <c r="G50" s="5"/>
      <c r="H50" s="5"/>
      <c r="I50" s="6"/>
    </row>
    <row r="51" spans="1:9" ht="30" customHeight="1" x14ac:dyDescent="0.3">
      <c r="A51" s="7" t="s">
        <v>781</v>
      </c>
      <c r="B51" s="8" t="str">
        <f>VLOOKUP(InputForm[[#This Row],[feature_id]],features[],3,FALSE)</f>
        <v>Вид чередований</v>
      </c>
      <c r="C51" s="4"/>
      <c r="D5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5"/>
      <c r="F51" s="5"/>
      <c r="G51" s="5"/>
      <c r="H51" s="5"/>
      <c r="I51" s="6"/>
    </row>
    <row r="52" spans="1:9" ht="30" customHeight="1" x14ac:dyDescent="0.3">
      <c r="A52" s="7" t="s">
        <v>783</v>
      </c>
      <c r="B52" s="8" t="str">
        <f>VLOOKUP(InputForm[[#This Row],[feature_id]],features[],3,FALSE)</f>
        <v>Тип языка по способу соединения морфем в слове</v>
      </c>
      <c r="C52" s="4"/>
      <c r="D5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5"/>
      <c r="F52" s="5"/>
      <c r="G52" s="5"/>
      <c r="H52" s="5"/>
      <c r="I52" s="6"/>
    </row>
    <row r="53" spans="1:9" ht="30" customHeight="1" x14ac:dyDescent="0.3">
      <c r="A53" s="7" t="s">
        <v>785</v>
      </c>
      <c r="B53" s="8" t="str">
        <f>VLOOKUP(InputForm[[#This Row],[feature_id]],features[],3,FALSE)</f>
        <v>Признаки флективного строя</v>
      </c>
      <c r="C53" s="4"/>
      <c r="D5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5"/>
      <c r="F53" s="5"/>
      <c r="G53" s="5"/>
      <c r="H53" s="5"/>
      <c r="I53" s="6"/>
    </row>
    <row r="54" spans="1:9" ht="30" customHeight="1" x14ac:dyDescent="0.3">
      <c r="A54" s="7" t="s">
        <v>787</v>
      </c>
      <c r="B54" s="8" t="str">
        <f>VLOOKUP(InputForm[[#This Row],[feature_id]],features[],3,FALSE)</f>
        <v>Признаки агглютинативного строя</v>
      </c>
      <c r="C54" s="4"/>
      <c r="D5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5"/>
      <c r="F54" s="5"/>
      <c r="G54" s="5"/>
      <c r="H54" s="5"/>
      <c r="I54" s="6"/>
    </row>
    <row r="55" spans="1:9" ht="30" customHeight="1" x14ac:dyDescent="0.3">
      <c r="A55" s="7" t="s">
        <v>789</v>
      </c>
      <c r="B55" s="8" t="str">
        <f>VLOOKUP(InputForm[[#This Row],[feature_id]],features[],3,FALSE)</f>
        <v>Тип языка по степени спаянности морфем</v>
      </c>
      <c r="C55" s="4"/>
      <c r="D5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5"/>
      <c r="F55" s="5"/>
      <c r="G55" s="5"/>
      <c r="H55" s="5"/>
      <c r="I55" s="6"/>
    </row>
    <row r="56" spans="1:9" ht="30" customHeight="1" x14ac:dyDescent="0.3">
      <c r="A56" s="7" t="s">
        <v>791</v>
      </c>
      <c r="B56" s="8" t="str">
        <f>VLOOKUP(InputForm[[#This Row],[feature_id]],features[],3,FALSE)</f>
        <v>Количество согласовательных классов</v>
      </c>
      <c r="C56" s="4"/>
      <c r="D5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5"/>
      <c r="F56" s="5"/>
      <c r="G56" s="5"/>
      <c r="H56" s="5"/>
      <c r="I56" s="6"/>
    </row>
    <row r="57" spans="1:9" ht="30" customHeight="1" x14ac:dyDescent="0.3">
      <c r="A57" s="7" t="s">
        <v>793</v>
      </c>
      <c r="B57" s="8" t="str">
        <f>VLOOKUP(InputForm[[#This Row],[feature_id]],features[],3,FALSE)</f>
        <v>Морфологические способы выражения согласовательных классов</v>
      </c>
      <c r="C57" s="4"/>
      <c r="D5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5"/>
      <c r="F57" s="5"/>
      <c r="G57" s="5"/>
      <c r="H57" s="5"/>
      <c r="I57" s="6"/>
    </row>
    <row r="58" spans="1:9" ht="30" customHeight="1" x14ac:dyDescent="0.3">
      <c r="A58" s="7" t="s">
        <v>795</v>
      </c>
      <c r="B58" s="8" t="str">
        <f>VLOOKUP(InputForm[[#This Row],[feature_id]],features[],3,FALSE)</f>
        <v>Синтаксические способы выражения согласовательных классов</v>
      </c>
      <c r="C58" s="4"/>
      <c r="D5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5"/>
      <c r="F58" s="5"/>
      <c r="G58" s="5"/>
      <c r="H58" s="5"/>
      <c r="I58" s="6"/>
    </row>
    <row r="59" spans="1:9" ht="30" customHeight="1" x14ac:dyDescent="0.3">
      <c r="A59" s="7" t="s">
        <v>797</v>
      </c>
      <c r="B59" s="8" t="str">
        <f>VLOOKUP(InputForm[[#This Row],[feature_id]],features[],3,FALSE)</f>
        <v>Другие способы выражения согласовательных классов</v>
      </c>
      <c r="C59" s="4"/>
      <c r="D5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5"/>
      <c r="F59" s="5"/>
      <c r="G59" s="5"/>
      <c r="H59" s="5"/>
      <c r="I59" s="6"/>
    </row>
    <row r="60" spans="1:9" ht="30" customHeight="1" x14ac:dyDescent="0.3">
      <c r="A60" s="7" t="s">
        <v>799</v>
      </c>
      <c r="B60" s="8" t="str">
        <f>VLOOKUP(InputForm[[#This Row],[feature_id]],features[],3,FALSE)</f>
        <v>Атрибутивное согласование по роду</v>
      </c>
      <c r="C60" s="4"/>
      <c r="D6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5"/>
      <c r="F60" s="5"/>
      <c r="G60" s="5"/>
      <c r="H60" s="5"/>
      <c r="I60" s="6"/>
    </row>
    <row r="61" spans="1:9" ht="30" customHeight="1" x14ac:dyDescent="0.3">
      <c r="A61" s="7" t="s">
        <v>801</v>
      </c>
      <c r="B61" s="8" t="str">
        <f>VLOOKUP(InputForm[[#This Row],[feature_id]],features[],3,FALSE)</f>
        <v>Согласование количественных числительных в роде</v>
      </c>
      <c r="C61" s="4"/>
      <c r="D6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5"/>
      <c r="F61" s="5"/>
      <c r="G61" s="5"/>
      <c r="H61" s="5"/>
      <c r="I61" s="6"/>
    </row>
    <row r="62" spans="1:9" ht="30" customHeight="1" x14ac:dyDescent="0.3">
      <c r="A62" s="7" t="s">
        <v>804</v>
      </c>
      <c r="B62" s="8" t="str">
        <f>VLOOKUP(InputForm[[#This Row],[feature_id]],features[],3,FALSE)</f>
        <v>Классифицирующие категории существительных</v>
      </c>
      <c r="C62" s="4"/>
      <c r="D6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5"/>
      <c r="F62" s="5"/>
      <c r="G62" s="5"/>
      <c r="H62" s="5"/>
      <c r="I62" s="6"/>
    </row>
    <row r="63" spans="1:9" ht="30" customHeight="1" x14ac:dyDescent="0.3">
      <c r="A63" s="7" t="s">
        <v>806</v>
      </c>
      <c r="B63" s="8" t="str">
        <f>VLOOKUP(InputForm[[#This Row],[feature_id]],features[],3,FALSE)</f>
        <v>Противопоставление по личности/неличности</v>
      </c>
      <c r="C63" s="4"/>
      <c r="D6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5"/>
      <c r="F63" s="5"/>
      <c r="G63" s="5"/>
      <c r="H63" s="5"/>
      <c r="I63" s="6"/>
    </row>
    <row r="64" spans="1:9" ht="30" customHeight="1" x14ac:dyDescent="0.3">
      <c r="A64" s="7" t="s">
        <v>807</v>
      </c>
      <c r="B64" s="8" t="str">
        <f>VLOOKUP(InputForm[[#This Row],[feature_id]],features[],3,FALSE)</f>
        <v>Способ выражения одушевленности/неодушевленности</v>
      </c>
      <c r="C64" s="4"/>
      <c r="D6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5"/>
      <c r="F64" s="5"/>
      <c r="G64" s="5"/>
      <c r="H64" s="5"/>
      <c r="I64" s="6"/>
    </row>
    <row r="65" spans="1:9" ht="30" customHeight="1" x14ac:dyDescent="0.3">
      <c r="A65" s="7" t="s">
        <v>808</v>
      </c>
      <c r="B65" s="8" t="str">
        <f>VLOOKUP(InputForm[[#This Row],[feature_id]],features[],3,FALSE)</f>
        <v>Категория числа у существительных</v>
      </c>
      <c r="C65" s="4"/>
      <c r="D6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5"/>
      <c r="F65" s="5"/>
      <c r="G65" s="5"/>
      <c r="H65" s="5"/>
      <c r="I65" s="6"/>
    </row>
    <row r="66" spans="1:9" ht="30" customHeight="1" x14ac:dyDescent="0.3">
      <c r="A66" s="7" t="s">
        <v>809</v>
      </c>
      <c r="B66" s="8" t="str">
        <f>VLOOKUP(InputForm[[#This Row],[feature_id]],features[],3,FALSE)</f>
        <v>Маркирование единственного числа существительных</v>
      </c>
      <c r="C66" s="4"/>
      <c r="D6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5"/>
      <c r="F66" s="5"/>
      <c r="G66" s="5"/>
      <c r="H66" s="5"/>
      <c r="I66" s="6"/>
    </row>
    <row r="67" spans="1:9" ht="30" customHeight="1" x14ac:dyDescent="0.3">
      <c r="A67" s="7" t="s">
        <v>810</v>
      </c>
      <c r="B67" s="8" t="str">
        <f>VLOOKUP(InputForm[[#This Row],[feature_id]],features[],3,FALSE)</f>
        <v>Формы вежливости в местоимениях и глаголах</v>
      </c>
      <c r="C67" s="4"/>
      <c r="D6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5"/>
      <c r="F67" s="5"/>
      <c r="G67" s="5"/>
      <c r="H67" s="5"/>
      <c r="I67" s="6"/>
    </row>
    <row r="68" spans="1:9" ht="30" customHeight="1" x14ac:dyDescent="0.3">
      <c r="A68" s="7" t="s">
        <v>811</v>
      </c>
      <c r="B68" s="8" t="str">
        <f>VLOOKUP(InputForm[[#This Row],[feature_id]],features[],3,FALSE)</f>
        <v>Согласование по числу</v>
      </c>
      <c r="C68" s="4"/>
      <c r="D6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5"/>
      <c r="F68" s="5"/>
      <c r="G68" s="5"/>
      <c r="H68" s="5"/>
      <c r="I68" s="6"/>
    </row>
    <row r="69" spans="1:9" ht="30" customHeight="1" x14ac:dyDescent="0.3">
      <c r="A69" s="7" t="s">
        <v>813</v>
      </c>
      <c r="B69" s="8" t="str">
        <f>VLOOKUP(InputForm[[#This Row],[feature_id]],features[],3,FALSE)</f>
        <v>Форма числа существительного в сочетании с числительными</v>
      </c>
      <c r="C69" s="4"/>
      <c r="D6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5"/>
      <c r="F69" s="5"/>
      <c r="G69" s="5"/>
      <c r="H69" s="5"/>
      <c r="I69" s="6"/>
    </row>
    <row r="70" spans="1:9" ht="30" customHeight="1" x14ac:dyDescent="0.3">
      <c r="A70" s="7" t="s">
        <v>814</v>
      </c>
      <c r="B70" s="8" t="str">
        <f>VLOOKUP(InputForm[[#This Row],[feature_id]],features[],3,FALSE)</f>
        <v>Система счисления</v>
      </c>
      <c r="C70" s="4"/>
      <c r="D7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5"/>
      <c r="F70" s="5"/>
      <c r="G70" s="5"/>
      <c r="H70" s="5"/>
      <c r="I70" s="6"/>
    </row>
    <row r="71" spans="1:9" ht="30" customHeight="1" x14ac:dyDescent="0.3">
      <c r="A71" s="7" t="s">
        <v>816</v>
      </c>
      <c r="B71" s="8" t="str">
        <f>VLOOKUP(InputForm[[#This Row],[feature_id]],features[],3,FALSE)</f>
        <v>Количество падежей у имени существительного</v>
      </c>
      <c r="C71" s="4"/>
      <c r="D7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5"/>
      <c r="F71" s="5"/>
      <c r="G71" s="5"/>
      <c r="H71" s="5"/>
      <c r="I71" s="6"/>
    </row>
    <row r="72" spans="1:9" ht="30" customHeight="1" x14ac:dyDescent="0.3">
      <c r="A72" s="7" t="s">
        <v>817</v>
      </c>
      <c r="B72" s="8" t="str">
        <f>VLOOKUP(InputForm[[#This Row],[feature_id]],features[],3,FALSE)</f>
        <v>Маркирование субъекта и объекта</v>
      </c>
      <c r="C72" s="4"/>
      <c r="D7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5"/>
      <c r="F72" s="5"/>
      <c r="G72" s="5"/>
      <c r="H72" s="5"/>
      <c r="I72" s="6"/>
    </row>
    <row r="73" spans="1:9" ht="30" customHeight="1" x14ac:dyDescent="0.3">
      <c r="A73" s="7" t="s">
        <v>819</v>
      </c>
      <c r="B73" s="8" t="str">
        <f>VLOOKUP(InputForm[[#This Row],[feature_id]],features[],3,FALSE)</f>
        <v>Падежное оформление именного сказуемого</v>
      </c>
      <c r="C73" s="4"/>
      <c r="D7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5"/>
      <c r="F73" s="5"/>
      <c r="G73" s="5"/>
      <c r="H73" s="5"/>
      <c r="I73" s="6"/>
    </row>
    <row r="74" spans="1:9" ht="30" customHeight="1" x14ac:dyDescent="0.3">
      <c r="A74" s="7" t="s">
        <v>821</v>
      </c>
      <c r="B74" s="8" t="str">
        <f>VLOOKUP(InputForm[[#This Row],[feature_id]],features[],3,FALSE)</f>
        <v>Падежное оформление посессивного отношения в именной группе</v>
      </c>
      <c r="C74" s="4"/>
      <c r="D7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5"/>
      <c r="F74" s="5"/>
      <c r="G74" s="5"/>
      <c r="H74" s="5"/>
      <c r="I74" s="6"/>
    </row>
    <row r="75" spans="1:9" ht="30" customHeight="1" x14ac:dyDescent="0.3">
      <c r="A75" s="7" t="s">
        <v>822</v>
      </c>
      <c r="B75" s="8" t="str">
        <f>VLOOKUP(InputForm[[#This Row],[feature_id]],features[],3,FALSE)</f>
        <v>Другие способы оформления посессивного отношения</v>
      </c>
      <c r="C75" s="4"/>
      <c r="D7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5"/>
      <c r="F75" s="5"/>
      <c r="G75" s="5"/>
      <c r="H75" s="5"/>
      <c r="I75" s="6"/>
    </row>
    <row r="76" spans="1:9" ht="30" customHeight="1" x14ac:dyDescent="0.3">
      <c r="A76" s="7" t="s">
        <v>824</v>
      </c>
      <c r="B76" s="8" t="str">
        <f>VLOOKUP(InputForm[[#This Row],[feature_id]],features[],3,FALSE)</f>
        <v>Способ выражения пространственных отношений</v>
      </c>
      <c r="C76" s="4"/>
      <c r="D7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5"/>
      <c r="F76" s="5"/>
      <c r="G76" s="5"/>
      <c r="H76" s="5"/>
      <c r="I76" s="6"/>
    </row>
    <row r="77" spans="1:9" ht="30" customHeight="1" x14ac:dyDescent="0.3">
      <c r="A77" s="7" t="s">
        <v>826</v>
      </c>
      <c r="B77" s="8" t="str">
        <f>VLOOKUP(InputForm[[#This Row],[feature_id]],features[],3,FALSE)</f>
        <v>Маркирование в посессивной конструкции</v>
      </c>
      <c r="C77" s="4"/>
      <c r="D7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5"/>
      <c r="F77" s="5"/>
      <c r="G77" s="5"/>
      <c r="H77" s="5"/>
      <c r="I77" s="6"/>
    </row>
    <row r="78" spans="1:9" ht="30" customHeight="1" x14ac:dyDescent="0.3">
      <c r="A78" s="7" t="s">
        <v>827</v>
      </c>
      <c r="B78" s="8" t="str">
        <f>VLOOKUP(InputForm[[#This Row],[feature_id]],features[],3,FALSE)</f>
        <v>Падежное оформление одушевленных и неодушевленных имен существительных</v>
      </c>
      <c r="C78" s="4"/>
      <c r="D7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5"/>
      <c r="F78" s="5"/>
      <c r="G78" s="5"/>
      <c r="H78" s="5"/>
      <c r="I78" s="6"/>
    </row>
    <row r="79" spans="1:9" ht="30" customHeight="1" x14ac:dyDescent="0.3">
      <c r="A79" s="7" t="s">
        <v>828</v>
      </c>
      <c r="B79" s="8" t="str">
        <f>VLOOKUP(InputForm[[#This Row],[feature_id]],features[],3,FALSE)</f>
        <v>Наличие вторичных падежей</v>
      </c>
      <c r="C79" s="4"/>
      <c r="D7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5"/>
      <c r="F79" s="5"/>
      <c r="G79" s="5"/>
      <c r="H79" s="5"/>
      <c r="I79" s="6"/>
    </row>
    <row r="80" spans="1:9" ht="30" customHeight="1" x14ac:dyDescent="0.3">
      <c r="A80" s="7" t="s">
        <v>830</v>
      </c>
      <c r="B80" s="8" t="str">
        <f>VLOOKUP(InputForm[[#This Row],[feature_id]],features[],3,FALSE)</f>
        <v>Способ выражения залоговых форм в глаголе</v>
      </c>
      <c r="C80" s="4"/>
      <c r="D8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5"/>
      <c r="F80" s="5"/>
      <c r="G80" s="5"/>
      <c r="H80" s="5"/>
      <c r="I80" s="6"/>
    </row>
    <row r="81" spans="1:9" ht="30" customHeight="1" x14ac:dyDescent="0.3">
      <c r="A81" s="7" t="s">
        <v>832</v>
      </c>
      <c r="B81" s="8" t="str">
        <f>VLOOKUP(InputForm[[#This Row],[feature_id]],features[],3,FALSE)</f>
        <v>Возможность наложения нескольких залоговых форм</v>
      </c>
      <c r="C81" s="4"/>
      <c r="D8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5"/>
      <c r="F81" s="5"/>
      <c r="G81" s="5"/>
      <c r="H81" s="5"/>
      <c r="I81" s="6"/>
    </row>
    <row r="82" spans="1:9" ht="30" customHeight="1" x14ac:dyDescent="0.3">
      <c r="A82" s="7" t="s">
        <v>834</v>
      </c>
      <c r="B82" s="8" t="str">
        <f>VLOOKUP(InputForm[[#This Row],[feature_id]],features[],3,FALSE)</f>
        <v>Двойные залоговые формы</v>
      </c>
      <c r="C82" s="4"/>
      <c r="D8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5"/>
      <c r="F82" s="5"/>
      <c r="G82" s="5"/>
      <c r="H82" s="5"/>
      <c r="I82" s="6"/>
    </row>
    <row r="83" spans="1:9" ht="30" customHeight="1" x14ac:dyDescent="0.3">
      <c r="A83" s="7" t="s">
        <v>836</v>
      </c>
      <c r="B83" s="8" t="str">
        <f>VLOOKUP(InputForm[[#This Row],[feature_id]],features[],3,FALSE)</f>
        <v>Совпадение залоговых форм</v>
      </c>
      <c r="C83" s="4"/>
      <c r="D8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5"/>
      <c r="F83" s="5"/>
      <c r="G83" s="5"/>
      <c r="H83" s="5"/>
      <c r="I83" s="6"/>
    </row>
    <row r="84" spans="1:9" ht="30" customHeight="1" x14ac:dyDescent="0.3">
      <c r="A84" s="7" t="s">
        <v>838</v>
      </c>
      <c r="B84" s="8" t="str">
        <f>VLOOKUP(InputForm[[#This Row],[feature_id]],features[],3,FALSE)</f>
        <v>Грамматические формы времени</v>
      </c>
      <c r="C84" s="4"/>
      <c r="D8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5"/>
      <c r="F84" s="5"/>
      <c r="G84" s="5"/>
      <c r="H84" s="5"/>
      <c r="I84" s="6"/>
    </row>
    <row r="85" spans="1:9" ht="30" customHeight="1" x14ac:dyDescent="0.3">
      <c r="A85" s="7" t="s">
        <v>839</v>
      </c>
      <c r="B85" s="8" t="str">
        <f>VLOOKUP(InputForm[[#This Row],[feature_id]],features[],3,FALSE)</f>
        <v>Выражение вида и времени</v>
      </c>
      <c r="C85" s="4"/>
      <c r="D8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5"/>
      <c r="F85" s="5"/>
      <c r="G85" s="5"/>
      <c r="H85" s="5"/>
      <c r="I85" s="6"/>
    </row>
    <row r="86" spans="1:9" ht="30" customHeight="1" x14ac:dyDescent="0.3">
      <c r="A86" s="7" t="s">
        <v>841</v>
      </c>
      <c r="B86" s="8" t="str">
        <f>VLOOKUP(InputForm[[#This Row],[feature_id]],features[],3,FALSE)</f>
        <v>Способ выражения временных категорий</v>
      </c>
      <c r="C86" s="4"/>
      <c r="D8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5"/>
      <c r="F86" s="5"/>
      <c r="G86" s="5"/>
      <c r="H86" s="5"/>
      <c r="I86" s="6"/>
    </row>
    <row r="87" spans="1:9" ht="30" customHeight="1" x14ac:dyDescent="0.3">
      <c r="A87" s="7" t="s">
        <v>843</v>
      </c>
      <c r="B87" s="8" t="str">
        <f>VLOOKUP(InputForm[[#This Row],[feature_id]],features[],3,FALSE)</f>
        <v>Синкретическое выражение нескольких глагольных значений</v>
      </c>
      <c r="C87" s="4"/>
      <c r="D8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5"/>
      <c r="F87" s="5"/>
      <c r="G87" s="5"/>
      <c r="H87" s="5"/>
      <c r="I87" s="6"/>
    </row>
    <row r="88" spans="1:9" ht="30" customHeight="1" x14ac:dyDescent="0.3">
      <c r="A88" s="7" t="s">
        <v>845</v>
      </c>
      <c r="B88" s="8" t="str">
        <f>VLOOKUP(InputForm[[#This Row],[feature_id]],features[],3,FALSE)</f>
        <v>Маркирование лица в глаголе в настоящем времени</v>
      </c>
      <c r="C88" s="4"/>
      <c r="D8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5"/>
      <c r="F88" s="5"/>
      <c r="G88" s="5"/>
      <c r="H88" s="5"/>
      <c r="I88" s="6"/>
    </row>
    <row r="89" spans="1:9" ht="30" customHeight="1" x14ac:dyDescent="0.3">
      <c r="A89" s="7" t="s">
        <v>847</v>
      </c>
      <c r="B89" s="8" t="str">
        <f>VLOOKUP(InputForm[[#This Row],[feature_id]],features[],3,FALSE)</f>
        <v>Маркер переходности</v>
      </c>
      <c r="C89" s="4"/>
      <c r="D8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5"/>
      <c r="F89" s="5"/>
      <c r="G89" s="5"/>
      <c r="H89" s="5"/>
      <c r="I89" s="6"/>
    </row>
    <row r="90" spans="1:9" ht="30" customHeight="1" x14ac:dyDescent="0.3">
      <c r="A90" s="7" t="s">
        <v>849</v>
      </c>
      <c r="B90" s="8" t="str">
        <f>VLOOKUP(InputForm[[#This Row],[feature_id]],features[],3,FALSE)</f>
        <v>Наличие местоименных слов</v>
      </c>
      <c r="C90" s="4"/>
      <c r="D9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5"/>
      <c r="F90" s="5"/>
      <c r="G90" s="5"/>
      <c r="H90" s="5"/>
      <c r="I90" s="6"/>
    </row>
    <row r="91" spans="1:9" ht="30" customHeight="1" x14ac:dyDescent="0.3">
      <c r="A91" s="7" t="s">
        <v>852</v>
      </c>
      <c r="B91" s="8" t="str">
        <f>VLOOKUP(InputForm[[#This Row],[feature_id]],features[],3,FALSE)</f>
        <v>Способы выражения дейктических категорий</v>
      </c>
      <c r="C91" s="4"/>
      <c r="D9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5"/>
      <c r="F91" s="5"/>
      <c r="G91" s="5"/>
      <c r="H91" s="5"/>
      <c r="I91" s="6"/>
    </row>
    <row r="92" spans="1:9" ht="30" customHeight="1" x14ac:dyDescent="0.3">
      <c r="A92" s="7" t="s">
        <v>854</v>
      </c>
      <c r="B92" s="8" t="str">
        <f>VLOOKUP(InputForm[[#This Row],[feature_id]],features[],3,FALSE)</f>
        <v>Служебные части речи, выражающие пространственную ориентацию действия</v>
      </c>
      <c r="C92" s="4"/>
      <c r="D9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5"/>
      <c r="F92" s="5"/>
      <c r="G92" s="5"/>
      <c r="H92" s="5"/>
      <c r="I92" s="6"/>
    </row>
    <row r="93" spans="1:9" ht="30" customHeight="1" x14ac:dyDescent="0.3">
      <c r="A93" s="7" t="s">
        <v>856</v>
      </c>
      <c r="B93" s="8" t="str">
        <f>VLOOKUP(InputForm[[#This Row],[feature_id]],features[],3,FALSE)</f>
        <v>Знаменательные части речи, выражающие пространственную ориентацию действия</v>
      </c>
      <c r="C93" s="4"/>
      <c r="D9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5"/>
      <c r="F93" s="5"/>
      <c r="G93" s="5"/>
      <c r="H93" s="5"/>
      <c r="I93" s="6"/>
    </row>
    <row r="94" spans="1:9" ht="30" customHeight="1" x14ac:dyDescent="0.3">
      <c r="A94" s="7" t="s">
        <v>858</v>
      </c>
      <c r="B94" s="8" t="str">
        <f>VLOOKUP(InputForm[[#This Row],[feature_id]],features[],3,FALSE)</f>
        <v>Морфологическое выражение определенности/неопределенности имени</v>
      </c>
      <c r="C94" s="4"/>
      <c r="D9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5"/>
      <c r="F94" s="5"/>
      <c r="G94" s="5"/>
      <c r="H94" s="5"/>
      <c r="I94" s="6"/>
    </row>
    <row r="95" spans="1:9" ht="30" customHeight="1" x14ac:dyDescent="0.3">
      <c r="A95" s="7" t="s">
        <v>860</v>
      </c>
      <c r="B95" s="8" t="str">
        <f>VLOOKUP(InputForm[[#This Row],[feature_id]],features[],3,FALSE)</f>
        <v>Части речи, выражающие определенность/неопределенность имени</v>
      </c>
      <c r="C95" s="4"/>
      <c r="D9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5"/>
      <c r="F95" s="5"/>
      <c r="G95" s="5"/>
      <c r="H95" s="5"/>
      <c r="I95" s="6"/>
    </row>
    <row r="96" spans="1:9" ht="30" customHeight="1" x14ac:dyDescent="0.3">
      <c r="A96" s="7" t="s">
        <v>861</v>
      </c>
      <c r="B96" s="8" t="str">
        <f>VLOOKUP(InputForm[[#This Row],[feature_id]],features[],3,FALSE)</f>
        <v>Способы выражения форм вежливости</v>
      </c>
      <c r="C96" s="4"/>
      <c r="D9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5"/>
      <c r="F96" s="5"/>
      <c r="G96" s="5"/>
      <c r="H96" s="5"/>
      <c r="I96" s="6"/>
    </row>
    <row r="97" spans="1:9" ht="30" customHeight="1" x14ac:dyDescent="0.3">
      <c r="A97" s="7" t="s">
        <v>863</v>
      </c>
      <c r="B97" s="8" t="str">
        <f>VLOOKUP(InputForm[[#This Row],[feature_id]],features[],3,FALSE)</f>
        <v>Способы выражения отрицания</v>
      </c>
      <c r="C97" s="4"/>
      <c r="D9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5"/>
      <c r="F97" s="5"/>
      <c r="G97" s="5"/>
      <c r="H97" s="5"/>
      <c r="I97" s="6"/>
    </row>
    <row r="98" spans="1:9" ht="30" customHeight="1" x14ac:dyDescent="0.3">
      <c r="A98" s="7" t="s">
        <v>865</v>
      </c>
      <c r="B98" s="8" t="str">
        <f>VLOOKUP(InputForm[[#This Row],[feature_id]],features[],3,FALSE)</f>
        <v>Позиция показателя отрицания</v>
      </c>
      <c r="C98" s="4"/>
      <c r="D9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5"/>
      <c r="F98" s="5"/>
      <c r="G98" s="5"/>
      <c r="H98" s="5"/>
      <c r="I98" s="6"/>
    </row>
    <row r="99" spans="1:9" ht="30" customHeight="1" x14ac:dyDescent="0.3">
      <c r="A99" s="7" t="s">
        <v>867</v>
      </c>
      <c r="B99" s="8" t="str">
        <f>VLOOKUP(InputForm[[#This Row],[feature_id]],features[],3,FALSE)</f>
        <v>Склонение личных местоимений</v>
      </c>
      <c r="C99" s="4"/>
      <c r="D9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5"/>
      <c r="F99" s="5"/>
      <c r="G99" s="5"/>
      <c r="H99" s="5"/>
      <c r="I99" s="6"/>
    </row>
    <row r="100" spans="1:9" ht="30" customHeight="1" x14ac:dyDescent="0.3">
      <c r="A100" s="7" t="s">
        <v>869</v>
      </c>
      <c r="B100" s="8" t="str">
        <f>VLOOKUP(InputForm[[#This Row],[feature_id]],features[],3,FALSE)</f>
        <v>Типы артиклей</v>
      </c>
      <c r="C100" s="4"/>
      <c r="D10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5"/>
      <c r="F100" s="5"/>
      <c r="G100" s="5"/>
      <c r="H100" s="5"/>
      <c r="I100" s="6"/>
    </row>
    <row r="101" spans="1:9" ht="30" customHeight="1" x14ac:dyDescent="0.3">
      <c r="A101" s="7" t="s">
        <v>871</v>
      </c>
      <c r="B101" s="8" t="str">
        <f>VLOOKUP(InputForm[[#This Row],[feature_id]],features[],3,FALSE)</f>
        <v>Неопределенный артикль и числительное «один»</v>
      </c>
      <c r="C101" s="4"/>
      <c r="D10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5"/>
      <c r="F101" s="5"/>
      <c r="G101" s="5"/>
      <c r="H101" s="5"/>
      <c r="I101" s="6"/>
    </row>
    <row r="102" spans="1:9" ht="30" customHeight="1" x14ac:dyDescent="0.3">
      <c r="A102" s="7" t="s">
        <v>873</v>
      </c>
      <c r="B102" s="8" t="str">
        <f>VLOOKUP(InputForm[[#This Row],[feature_id]],features[],3,FALSE)</f>
        <v>Расположение артикля</v>
      </c>
      <c r="C102" s="4"/>
      <c r="D10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5"/>
      <c r="F102" s="5"/>
      <c r="G102" s="5"/>
      <c r="H102" s="5"/>
      <c r="I102" s="6"/>
    </row>
    <row r="103" spans="1:9" ht="30" customHeight="1" x14ac:dyDescent="0.3">
      <c r="A103" s="7" t="s">
        <v>875</v>
      </c>
      <c r="B103" s="8" t="str">
        <f>VLOOKUP(InputForm[[#This Row],[feature_id]],features[],3,FALSE)</f>
        <v>Постановка артикля в именной группе</v>
      </c>
      <c r="C103" s="4"/>
      <c r="D10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5"/>
      <c r="F103" s="5"/>
      <c r="G103" s="5"/>
      <c r="H103" s="5"/>
      <c r="I103" s="6"/>
    </row>
    <row r="104" spans="1:9" ht="30" customHeight="1" x14ac:dyDescent="0.3">
      <c r="A104" s="7" t="s">
        <v>877</v>
      </c>
      <c r="B104" s="8" t="str">
        <f>VLOOKUP(InputForm[[#This Row],[feature_id]],features[],3,FALSE)</f>
        <v>Грамматические категории, выражаемые артиклем</v>
      </c>
      <c r="C104" s="4"/>
      <c r="D10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5"/>
      <c r="F104" s="5"/>
      <c r="G104" s="5"/>
      <c r="H104" s="5"/>
      <c r="I104" s="6"/>
    </row>
    <row r="105" spans="1:9" ht="30" customHeight="1" x14ac:dyDescent="0.3">
      <c r="A105" s="7" t="s">
        <v>879</v>
      </c>
      <c r="B105" s="8" t="str">
        <f>VLOOKUP(InputForm[[#This Row],[feature_id]],features[],3,FALSE)</f>
        <v>Количество типов спряжения глаголов</v>
      </c>
      <c r="C105" s="4"/>
      <c r="D10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5"/>
      <c r="F105" s="5"/>
      <c r="G105" s="5"/>
      <c r="H105" s="5"/>
      <c r="I105" s="6"/>
    </row>
    <row r="106" spans="1:9" ht="30" customHeight="1" x14ac:dyDescent="0.3">
      <c r="A106" s="7" t="s">
        <v>881</v>
      </c>
      <c r="B106" s="8" t="str">
        <f>VLOOKUP(InputForm[[#This Row],[feature_id]],features[],3,FALSE)</f>
        <v>Типы глагольного согласования</v>
      </c>
      <c r="C106" s="4"/>
      <c r="D10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5"/>
      <c r="F106" s="5"/>
      <c r="G106" s="5"/>
      <c r="H106" s="5"/>
      <c r="I106" s="6"/>
    </row>
    <row r="107" spans="1:9" ht="30" customHeight="1" x14ac:dyDescent="0.3">
      <c r="A107" s="7" t="s">
        <v>883</v>
      </c>
      <c r="B107" s="8" t="str">
        <f>VLOOKUP(InputForm[[#This Row],[feature_id]],features[],3,FALSE)</f>
        <v>Согласовательные категории, выражаемые причастием</v>
      </c>
      <c r="C107" s="4"/>
      <c r="D10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5"/>
      <c r="F107" s="5"/>
      <c r="G107" s="5"/>
      <c r="H107" s="5"/>
      <c r="I107" s="6"/>
    </row>
    <row r="108" spans="1:9" ht="30" customHeight="1" x14ac:dyDescent="0.3">
      <c r="A108" s="7" t="s">
        <v>885</v>
      </c>
      <c r="B108" s="8" t="str">
        <f>VLOOKUP(InputForm[[#This Row],[feature_id]],features[],3,FALSE)</f>
        <v>Время, выражаемое причастием</v>
      </c>
      <c r="C108" s="4"/>
      <c r="D10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5"/>
      <c r="F108" s="5"/>
      <c r="G108" s="5"/>
      <c r="H108" s="5"/>
      <c r="I108" s="6"/>
    </row>
    <row r="109" spans="1:9" ht="30" customHeight="1" x14ac:dyDescent="0.3">
      <c r="A109" s="7" t="s">
        <v>887</v>
      </c>
      <c r="B109" s="8" t="str">
        <f>VLOOKUP(InputForm[[#This Row],[feature_id]],features[],3,FALSE)</f>
        <v>Грамматические категории, выражаемые наречием</v>
      </c>
      <c r="C109" s="4"/>
      <c r="D10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5"/>
      <c r="F109" s="5"/>
      <c r="G109" s="5"/>
      <c r="H109" s="5"/>
      <c r="I109" s="6"/>
    </row>
    <row r="110" spans="1:9" ht="30" customHeight="1" x14ac:dyDescent="0.3">
      <c r="A110" s="7" t="s">
        <v>889</v>
      </c>
      <c r="B110" s="8" t="str">
        <f>VLOOKUP(InputForm[[#This Row],[feature_id]],features[],3,FALSE)</f>
        <v>Согласовательные категории, выражаемые прилагательным</v>
      </c>
      <c r="C110" s="4"/>
      <c r="D11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5"/>
      <c r="F110" s="5"/>
      <c r="G110" s="5"/>
      <c r="H110" s="5"/>
      <c r="I110" s="6"/>
    </row>
    <row r="111" spans="1:9" ht="30" customHeight="1" x14ac:dyDescent="0.3">
      <c r="A111" s="7" t="s">
        <v>891</v>
      </c>
      <c r="B111" s="8" t="str">
        <f>VLOOKUP(InputForm[[#This Row],[feature_id]],features[],3,FALSE)</f>
        <v>Возможность кумулятивного выражения нескольких категорий в прилагательном</v>
      </c>
      <c r="C111" s="4"/>
      <c r="D11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5"/>
      <c r="F111" s="5"/>
      <c r="G111" s="5"/>
      <c r="H111" s="5"/>
      <c r="I111" s="6"/>
    </row>
    <row r="112" spans="1:9" ht="30" customHeight="1" x14ac:dyDescent="0.3">
      <c r="A112" s="7" t="s">
        <v>893</v>
      </c>
      <c r="B112" s="8" t="str">
        <f>VLOOKUP(InputForm[[#This Row],[feature_id]],features[],3,FALSE)</f>
        <v>Атрибутивное согласование прилагательных</v>
      </c>
      <c r="C112" s="4"/>
      <c r="D11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5"/>
      <c r="F112" s="5"/>
      <c r="G112" s="5"/>
      <c r="H112" s="5"/>
      <c r="I112" s="6"/>
    </row>
    <row r="113" spans="1:9" ht="30" customHeight="1" x14ac:dyDescent="0.3">
      <c r="A113" s="7" t="s">
        <v>895</v>
      </c>
      <c r="B113" s="8" t="str">
        <f>VLOOKUP(InputForm[[#This Row],[feature_id]],features[],3,FALSE)</f>
        <v>Типы атрибутивного согласования</v>
      </c>
      <c r="C113" s="4"/>
      <c r="D11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5"/>
      <c r="F113" s="5"/>
      <c r="G113" s="5"/>
      <c r="H113" s="5"/>
      <c r="I113" s="6"/>
    </row>
    <row r="114" spans="1:9" ht="30" customHeight="1" x14ac:dyDescent="0.3">
      <c r="A114" s="7" t="s">
        <v>897</v>
      </c>
      <c r="B114" s="8" t="str">
        <f>VLOOKUP(InputForm[[#This Row],[feature_id]],features[],3,FALSE)</f>
        <v>Изменяемые грамматические категории, выражаемые существительным</v>
      </c>
      <c r="C114" s="4"/>
      <c r="D11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5"/>
      <c r="F114" s="5"/>
      <c r="G114" s="5"/>
      <c r="H114" s="5"/>
      <c r="I114" s="6"/>
    </row>
    <row r="115" spans="1:9" ht="30" customHeight="1" x14ac:dyDescent="0.3">
      <c r="A115" s="7" t="s">
        <v>899</v>
      </c>
      <c r="B115" s="8" t="str">
        <f>VLOOKUP(InputForm[[#This Row],[feature_id]],features[],3,FALSE)</f>
        <v>Кумулятивное выражение нескольких категорий в существительном</v>
      </c>
      <c r="C115" s="4"/>
      <c r="D11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5"/>
      <c r="F115" s="5"/>
      <c r="G115" s="5"/>
      <c r="H115" s="5"/>
      <c r="I115" s="6"/>
    </row>
    <row r="116" spans="1:9" ht="30" customHeight="1" x14ac:dyDescent="0.3">
      <c r="A116" s="7" t="s">
        <v>901</v>
      </c>
      <c r="B116" s="8" t="str">
        <f>VLOOKUP(InputForm[[#This Row],[feature_id]],features[],3,FALSE)</f>
        <v>Средства словоизменения</v>
      </c>
      <c r="C116" s="4"/>
      <c r="D11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5"/>
      <c r="F116" s="5"/>
      <c r="G116" s="5"/>
      <c r="H116" s="5"/>
      <c r="I116" s="6"/>
    </row>
    <row r="117" spans="1:9" ht="30" customHeight="1" x14ac:dyDescent="0.3">
      <c r="A117" s="7" t="s">
        <v>3332</v>
      </c>
      <c r="B117" s="8" t="str">
        <f>VLOOKUP(InputForm[[#This Row],[feature_id]],features[],3,FALSE)</f>
        <v>Модель словоформы</v>
      </c>
      <c r="C117" s="4"/>
      <c r="D11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5"/>
      <c r="F117" s="5"/>
      <c r="G117" s="5"/>
      <c r="H117" s="5"/>
      <c r="I117" s="6"/>
    </row>
    <row r="118" spans="1:9" ht="30" customHeight="1" x14ac:dyDescent="0.3">
      <c r="A118" s="7" t="s">
        <v>903</v>
      </c>
      <c r="B118" s="8" t="str">
        <f>VLOOKUP(InputForm[[#This Row],[feature_id]],features[],3,FALSE)</f>
        <v>Способы словообразования</v>
      </c>
      <c r="C118" s="4"/>
      <c r="D118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5"/>
      <c r="F118" s="5"/>
      <c r="G118" s="5"/>
      <c r="H118" s="5"/>
      <c r="I118" s="6"/>
    </row>
    <row r="119" spans="1:9" ht="30" customHeight="1" x14ac:dyDescent="0.3">
      <c r="A119" s="7" t="s">
        <v>905</v>
      </c>
      <c r="B119" s="8" t="str">
        <f>VLOOKUP(InputForm[[#This Row],[feature_id]],features[],3,FALSE)</f>
        <v>Аффиксы, участвующие в словообразовании</v>
      </c>
      <c r="C119" s="4"/>
      <c r="D119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5"/>
      <c r="F119" s="5"/>
      <c r="G119" s="5"/>
      <c r="H119" s="5"/>
      <c r="I119" s="6"/>
    </row>
    <row r="120" spans="1:9" ht="30" customHeight="1" x14ac:dyDescent="0.3">
      <c r="A120" s="7" t="s">
        <v>907</v>
      </c>
      <c r="B120" s="8" t="str">
        <f>VLOOKUP(InputForm[[#This Row],[feature_id]],features[],3,FALSE)</f>
        <v>Отношения между соединяемыми основами при сложении основ</v>
      </c>
      <c r="C120" s="4"/>
      <c r="D12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5"/>
      <c r="F120" s="5"/>
      <c r="G120" s="5"/>
      <c r="H120" s="5"/>
      <c r="I120" s="6"/>
    </row>
    <row r="121" spans="1:9" ht="30" customHeight="1" x14ac:dyDescent="0.3">
      <c r="A121" s="7" t="s">
        <v>909</v>
      </c>
      <c r="B121" s="8" t="str">
        <f>VLOOKUP(InputForm[[#This Row],[feature_id]],features[],3,FALSE)</f>
        <v>Стратегия кодирования глагольных актантов</v>
      </c>
      <c r="C121" s="4"/>
      <c r="D12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5"/>
      <c r="F121" s="5"/>
      <c r="G121" s="5"/>
      <c r="H121" s="5"/>
      <c r="I121" s="6"/>
    </row>
    <row r="122" spans="1:9" ht="30" customHeight="1" x14ac:dyDescent="0.3">
      <c r="A122" s="7" t="s">
        <v>911</v>
      </c>
      <c r="B122" s="8" t="str">
        <f>VLOOKUP(InputForm[[#This Row],[feature_id]],features[],3,FALSE)</f>
        <v>Фиксированность порядка слов</v>
      </c>
      <c r="C122" s="4"/>
      <c r="D122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5"/>
      <c r="F122" s="5"/>
      <c r="G122" s="5"/>
      <c r="H122" s="5"/>
      <c r="I122" s="6"/>
    </row>
    <row r="123" spans="1:9" ht="30" customHeight="1" x14ac:dyDescent="0.3">
      <c r="A123" s="7" t="s">
        <v>913</v>
      </c>
      <c r="B123" s="8" t="str">
        <f>VLOOKUP(InputForm[[#This Row],[feature_id]],features[],3,FALSE)</f>
        <v>Основной порядок слов в предложении</v>
      </c>
      <c r="C123" s="4"/>
      <c r="D123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5"/>
      <c r="F123" s="5"/>
      <c r="G123" s="5"/>
      <c r="H123" s="5"/>
      <c r="I123" s="6"/>
    </row>
    <row r="124" spans="1:9" ht="30" customHeight="1" x14ac:dyDescent="0.3">
      <c r="A124" s="7" t="s">
        <v>915</v>
      </c>
      <c r="B124" s="8" t="str">
        <f>VLOOKUP(InputForm[[#This Row],[feature_id]],features[],3,FALSE)</f>
        <v>Порядок определения и определяемого</v>
      </c>
      <c r="C124" s="4"/>
      <c r="D124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5"/>
      <c r="F124" s="5"/>
      <c r="G124" s="5"/>
      <c r="H124" s="5"/>
      <c r="I124" s="6"/>
    </row>
    <row r="125" spans="1:9" ht="30" customHeight="1" x14ac:dyDescent="0.3">
      <c r="A125" s="7" t="s">
        <v>917</v>
      </c>
      <c r="B125" s="8" t="str">
        <f>VLOOKUP(InputForm[[#This Row],[feature_id]],features[],3,FALSE)</f>
        <v>Опущение местоименного подлежащего в неэллиптических предложениях</v>
      </c>
      <c r="C125" s="4"/>
      <c r="D125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5"/>
      <c r="F125" s="5"/>
      <c r="G125" s="5"/>
      <c r="H125" s="5"/>
      <c r="I125" s="6"/>
    </row>
    <row r="126" spans="1:9" ht="30" customHeight="1" x14ac:dyDescent="0.3">
      <c r="A126" s="7" t="s">
        <v>919</v>
      </c>
      <c r="B126" s="8" t="str">
        <f>VLOOKUP(InputForm[[#This Row],[feature_id]],features[],3,FALSE)</f>
        <v>Линейный порядок компонентов в сложном предложении</v>
      </c>
      <c r="C126" s="4"/>
      <c r="D126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5"/>
      <c r="F126" s="5"/>
      <c r="G126" s="5"/>
      <c r="H126" s="5"/>
      <c r="I126" s="6"/>
    </row>
    <row r="127" spans="1:9" ht="30" customHeight="1" x14ac:dyDescent="0.3">
      <c r="A127" s="7" t="s">
        <v>921</v>
      </c>
      <c r="B127" s="8" t="str">
        <f>VLOOKUP(InputForm[[#This Row],[feature_id]],features[],3,FALSE)</f>
        <v>Особенности подчиненного компонента в сложном предложении</v>
      </c>
      <c r="C127" s="4"/>
      <c r="D127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5"/>
      <c r="F127" s="5"/>
      <c r="G127" s="5"/>
      <c r="H127" s="5"/>
      <c r="I127" s="6"/>
    </row>
    <row r="128" spans="1:9" ht="30" customHeight="1" x14ac:dyDescent="0.3">
      <c r="A128" s="7" t="s">
        <v>923</v>
      </c>
      <c r="B128" s="9" t="str">
        <f>VLOOKUP(InputForm[[#This Row],[feature_id]],features[],3,FALSE)</f>
        <v>Оформление сказуемого в придаточном предложении</v>
      </c>
      <c r="C128" s="4"/>
      <c r="D128" s="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4"/>
      <c r="F128" s="4"/>
      <c r="G128" s="5"/>
      <c r="H128" s="4"/>
      <c r="I128" s="6"/>
    </row>
    <row r="129" spans="1:9" ht="30" customHeight="1" x14ac:dyDescent="0.3">
      <c r="A129" s="7" t="s">
        <v>924</v>
      </c>
      <c r="B129" s="9" t="str">
        <f>VLOOKUP(InputForm[[#This Row],[feature_id]],features[],3,FALSE)</f>
        <v>Тип построения сложного предложения</v>
      </c>
      <c r="C129" s="4"/>
      <c r="D129" s="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9" s="4"/>
      <c r="F129" s="4"/>
      <c r="G129" s="5"/>
      <c r="H129" s="4"/>
      <c r="I129" s="6"/>
    </row>
    <row r="130" spans="1:9" ht="30" customHeight="1" x14ac:dyDescent="0.3">
      <c r="A130" s="7" t="s">
        <v>926</v>
      </c>
      <c r="B130" s="7" t="str">
        <f>VLOOKUP(InputForm[[#This Row],[feature_id]],features[],3,FALSE)</f>
        <v>Тип связи между элементами сложного предложения</v>
      </c>
      <c r="C130" s="4"/>
      <c r="D130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0" s="5"/>
      <c r="F130" s="5"/>
      <c r="G130" s="5"/>
      <c r="H130" s="5"/>
      <c r="I130" s="6"/>
    </row>
    <row r="131" spans="1:9" ht="30" customHeight="1" x14ac:dyDescent="0.3">
      <c r="A131" s="7" t="s">
        <v>929</v>
      </c>
      <c r="C131" s="1" t="s">
        <v>933</v>
      </c>
      <c r="D131" s="1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1" t="s">
        <v>2489</v>
      </c>
      <c r="F131" s="1" t="s">
        <v>2489</v>
      </c>
      <c r="G131" s="4"/>
      <c r="H131" s="4"/>
      <c r="I131" s="6"/>
    </row>
  </sheetData>
  <sheetProtection formatColumns="0" autoFilter="0"/>
  <conditionalFormatting sqref="A1:I200">
    <cfRule type="expression" dxfId="31" priority="16">
      <formula>MID($A1,1,1)&lt;&gt;MID($A2,1,1)</formula>
    </cfRule>
  </conditionalFormatting>
  <conditionalFormatting sqref="C2:C130">
    <cfRule type="expression" dxfId="30" priority="8">
      <formula>ISBLANK(C2)</formula>
    </cfRule>
  </conditionalFormatting>
  <conditionalFormatting sqref="E2:E130">
    <cfRule type="expression" dxfId="29" priority="18">
      <formula>AND(OR($C2="not_stated",$C2="explicit_gap",$C2="not_applicable"),$E2&lt;&gt;"")</formula>
    </cfRule>
    <cfRule type="expression" dxfId="28" priority="19">
      <formula>AND(E2="",C2="listed")</formula>
    </cfRule>
    <cfRule type="expression" dxfId="27" priority="20">
      <formula>$C2="custom"</formula>
    </cfRule>
  </conditionalFormatting>
  <conditionalFormatting sqref="D2:D130">
    <cfRule type="expression" dxfId="26" priority="36">
      <formula>AND(OR($C2="not_stated",$C2="explicit_gap",$C2="not_applicable"),$E2&lt;&gt;"")</formula>
    </cfRule>
    <cfRule type="expression" dxfId="25" priority="37">
      <formula>AND(D2="",C2="listed")</formula>
    </cfRule>
    <cfRule type="expression" dxfId="24" priority="38">
      <formula>$C2="custom"</formula>
    </cfRule>
  </conditionalFormatting>
  <conditionalFormatting sqref="E2:F130">
    <cfRule type="expression" dxfId="23" priority="41">
      <formula>AND($E2&lt;&gt;"",$F2&lt;&gt;"")</formula>
    </cfRule>
    <cfRule type="expression" dxfId="22" priority="42">
      <formula>OR($C2="not_stated",$C2="explicit_gap",$C2="not_applicable")</formula>
    </cfRule>
  </conditionalFormatting>
  <conditionalFormatting sqref="F2:F130">
    <cfRule type="expression" dxfId="21" priority="23">
      <formula>AND(F2&lt;&gt;"",C2&lt;&gt;"custom")</formula>
    </cfRule>
    <cfRule type="expression" dxfId="20" priority="45">
      <formula>AND(OR($C2="not_stated",$C2="explicit_gap",$C2="not_applicable"),$F2&lt;&gt;"")</formula>
    </cfRule>
    <cfRule type="expression" dxfId="19" priority="46">
      <formula>AND(F2="",C2="custom")</formula>
    </cfRule>
    <cfRule type="expression" dxfId="18" priority="47">
      <formula>$C2="listed"</formula>
    </cfRule>
  </conditionalFormatting>
  <conditionalFormatting sqref="G1048576:I1048576 A1048576:E1048576">
    <cfRule type="expression" dxfId="17" priority="52">
      <formula>MID(#REF!,1,1)&lt;&gt;MID($A1,1,1)</formula>
    </cfRule>
  </conditionalFormatting>
  <dataValidations disablePrompts="1" count="130">
    <dataValidation type="list" allowBlank="1" showInputMessage="1" showErrorMessage="1" sqref="E2" xr:uid="{299B153C-BD6C-40FA-9264-AB82D4E6D586}">
      <formula1>INDIRECT("features_listed_values!$D$2:$D$5")</formula1>
    </dataValidation>
    <dataValidation type="list" allowBlank="1" showInputMessage="1" showErrorMessage="1" sqref="E3" xr:uid="{C3D15772-2FB2-4E2D-8A56-6059EFA2D255}">
      <formula1>INDIRECT("features_listed_values!$D$6:$D$12")</formula1>
    </dataValidation>
    <dataValidation type="list" allowBlank="1" showInputMessage="1" showErrorMessage="1" sqref="E4" xr:uid="{CD882869-F5D3-40B5-8FE8-86A93DF28FE7}">
      <formula1>INDIRECT("features_listed_values!$D$13:$D$17")</formula1>
    </dataValidation>
    <dataValidation type="list" allowBlank="1" showInputMessage="1" showErrorMessage="1" sqref="E5" xr:uid="{8E0AEE60-447C-4F8F-93A9-06F3DEBF1721}">
      <formula1>INDIRECT("features_listed_values!$D$18:$D$20")</formula1>
    </dataValidation>
    <dataValidation type="list" allowBlank="1" showInputMessage="1" showErrorMessage="1" sqref="E6" xr:uid="{FD9C2E4D-E977-461B-85E1-ACC5134F426C}">
      <formula1>INDIRECT("features_listed_values!$D$21:$D$22")</formula1>
    </dataValidation>
    <dataValidation type="list" allowBlank="1" showInputMessage="1" showErrorMessage="1" sqref="E7" xr:uid="{F3315A59-FAB7-4E44-BF57-721B183E03D8}">
      <formula1>INDIRECT("features_listed_values!$D$23:$D$24")</formula1>
    </dataValidation>
    <dataValidation type="list" allowBlank="1" showInputMessage="1" showErrorMessage="1" sqref="E8" xr:uid="{1E7B759F-E818-4F3F-B397-E48281161BFE}">
      <formula1>INDIRECT("features_listed_values!$D$25:$D$26")</formula1>
    </dataValidation>
    <dataValidation type="list" allowBlank="1" showInputMessage="1" showErrorMessage="1" sqref="E9" xr:uid="{AECA76B7-9D85-404C-8E57-20249E970FC2}">
      <formula1>INDIRECT("features_listed_values!$D$27:$D$33")</formula1>
    </dataValidation>
    <dataValidation type="list" allowBlank="1" showInputMessage="1" showErrorMessage="1" sqref="E10" xr:uid="{4680D4BA-0C2F-4013-AA8F-28B5B480CD41}">
      <formula1>INDIRECT("features_listed_values!$D$34:$D$35")</formula1>
    </dataValidation>
    <dataValidation type="list" allowBlank="1" showInputMessage="1" showErrorMessage="1" sqref="E11" xr:uid="{56AE2383-BD0D-4AE4-872B-D97800DA560F}">
      <formula1>INDIRECT("features_listed_values!$D$36:$D$42")</formula1>
    </dataValidation>
    <dataValidation type="list" allowBlank="1" showInputMessage="1" showErrorMessage="1" sqref="E12" xr:uid="{2F527C34-8583-4CB8-92DC-05AEACCA5921}">
      <formula1>INDIRECT("features_listed_values!$D$43:$D$50")</formula1>
    </dataValidation>
    <dataValidation type="list" allowBlank="1" showInputMessage="1" showErrorMessage="1" sqref="E13" xr:uid="{72E29347-49BE-46E6-A51A-32DAD880F7D6}">
      <formula1>INDIRECT("features_listed_values!$D$51:$D$58")</formula1>
    </dataValidation>
    <dataValidation type="list" allowBlank="1" showInputMessage="1" showErrorMessage="1" sqref="E14" xr:uid="{D8C91368-D34A-4E43-BCDC-177249F8BD78}">
      <formula1>INDIRECT("features_listed_values!$D$59:$D$61")</formula1>
    </dataValidation>
    <dataValidation type="list" allowBlank="1" showInputMessage="1" showErrorMessage="1" sqref="E15" xr:uid="{75D1AF1A-F58B-4B79-83F8-E2FAEBB6885B}">
      <formula1>INDIRECT("features_listed_values!$D$62:$D$66")</formula1>
    </dataValidation>
    <dataValidation type="list" allowBlank="1" showInputMessage="1" showErrorMessage="1" sqref="E16" xr:uid="{A2F9D512-874F-4FBA-BC30-18553D7832CB}">
      <formula1>INDIRECT("features_listed_values!$D$67:$D$86")</formula1>
    </dataValidation>
    <dataValidation type="list" allowBlank="1" showInputMessage="1" showErrorMessage="1" sqref="E17" xr:uid="{58C2AAD2-AB3E-472B-986B-E842E450C81D}">
      <formula1>INDIRECT("features_listed_values!$D$87:$D$89")</formula1>
    </dataValidation>
    <dataValidation type="list" allowBlank="1" showInputMessage="1" showErrorMessage="1" sqref="E126" xr:uid="{A56EC9E8-FD60-479C-A93F-86C19818D010}">
      <formula1>INDIRECT("features_listed_values!$D$1202:$D$1205")</formula1>
    </dataValidation>
    <dataValidation type="list" allowBlank="1" showInputMessage="1" showErrorMessage="1" sqref="E18" xr:uid="{1B353C7E-1BED-4476-AFBF-A0F7460EFAA0}">
      <formula1>INDIRECT("features_listed_values!$D$90:$D$93")</formula1>
    </dataValidation>
    <dataValidation type="list" allowBlank="1" showInputMessage="1" showErrorMessage="1" sqref="E19" xr:uid="{C0D34EDD-F828-4E77-AD4E-5EB1E66C6FBD}">
      <formula1>INDIRECT("features_listed_values!$D$94:$D$95")</formula1>
    </dataValidation>
    <dataValidation type="list" allowBlank="1" showInputMessage="1" showErrorMessage="1" sqref="E20" xr:uid="{BFEBF47F-9F95-4CA2-96AA-B21FE7461966}">
      <formula1>INDIRECT("features_listed_values!$D$96:$D$127")</formula1>
    </dataValidation>
    <dataValidation type="list" allowBlank="1" showInputMessage="1" showErrorMessage="1" sqref="E21" xr:uid="{6A00699C-EEF0-4564-9076-6247510C1630}">
      <formula1>INDIRECT("features_listed_values!$D$128:$D$130")</formula1>
    </dataValidation>
    <dataValidation type="list" allowBlank="1" showInputMessage="1" showErrorMessage="1" sqref="E22" xr:uid="{45AC5A97-C4CA-4A66-A4C1-D9E788BE3E5D}">
      <formula1>INDIRECT("features_listed_values!$D$131:$D$133")</formula1>
    </dataValidation>
    <dataValidation type="list" allowBlank="1" showInputMessage="1" showErrorMessage="1" sqref="E23" xr:uid="{7B3B7151-B413-45A6-8276-22BF7410397C}">
      <formula1>INDIRECT("features_listed_values!$D$134:$D$143")</formula1>
    </dataValidation>
    <dataValidation type="list" allowBlank="1" showInputMessage="1" showErrorMessage="1" sqref="E24" xr:uid="{3F3EFB32-ED33-4ED1-93FF-BF269202BA6E}">
      <formula1>INDIRECT("features_listed_values!$D$144:$D$158")</formula1>
    </dataValidation>
    <dataValidation type="list" allowBlank="1" showInputMessage="1" showErrorMessage="1" sqref="E25" xr:uid="{D27A01EE-6988-49DD-9A5E-7B3996631C91}">
      <formula1>INDIRECT("features_listed_values!$D$159:$D$178")</formula1>
    </dataValidation>
    <dataValidation type="list" allowBlank="1" showInputMessage="1" showErrorMessage="1" sqref="E26" xr:uid="{9EBDFD3F-2A3E-4E99-A3C1-5D2282561DE7}">
      <formula1>INDIRECT("features_listed_values!$D$179:$D$197")</formula1>
    </dataValidation>
    <dataValidation type="list" allowBlank="1" showInputMessage="1" showErrorMessage="1" sqref="E27" xr:uid="{135464AE-2FBA-4073-9791-070C86B66451}">
      <formula1>INDIRECT("features_listed_values!$D$198:$D$198")</formula1>
    </dataValidation>
    <dataValidation type="list" allowBlank="1" showInputMessage="1" showErrorMessage="1" sqref="E28" xr:uid="{6E05B3FA-83D9-4124-A4CC-037513D61B25}">
      <formula1>INDIRECT("features_listed_values!$D$199:$D$202")</formula1>
    </dataValidation>
    <dataValidation type="list" allowBlank="1" showInputMessage="1" showErrorMessage="1" sqref="E29" xr:uid="{A5FACDE4-9AA7-48AA-B48E-C1854B919328}">
      <formula1>INDIRECT("features_listed_values!$D$203:$D$208")</formula1>
    </dataValidation>
    <dataValidation type="list" allowBlank="1" showInputMessage="1" showErrorMessage="1" sqref="E30" xr:uid="{3CE55590-1B7D-4EE7-A7B6-E6301E698987}">
      <formula1>INDIRECT("features_listed_values!$D$209:$D$211")</formula1>
    </dataValidation>
    <dataValidation type="list" allowBlank="1" showInputMessage="1" showErrorMessage="1" sqref="E31" xr:uid="{A997E725-48E6-4B27-87E2-CFBEF14860C8}">
      <formula1>INDIRECT("features_listed_values!$D$212:$D$216")</formula1>
    </dataValidation>
    <dataValidation type="list" allowBlank="1" showInputMessage="1" showErrorMessage="1" sqref="E32" xr:uid="{2DDB4A0B-018E-4D03-9881-31EE41B8484A}">
      <formula1>INDIRECT("features_listed_values!$D$217:$D$235")</formula1>
    </dataValidation>
    <dataValidation type="list" allowBlank="1" showInputMessage="1" showErrorMessage="1" sqref="E33" xr:uid="{D41FFA89-982F-4BFE-AF87-9BA1E9BB6178}">
      <formula1>INDIRECT("features_listed_values!$D$236:$D$239")</formula1>
    </dataValidation>
    <dataValidation type="list" allowBlank="1" showInputMessage="1" showErrorMessage="1" sqref="E34" xr:uid="{0201EB1C-E219-4E3F-852E-4A5D9CAE9A53}">
      <formula1>INDIRECT("features_listed_values!$D$240:$D$251")</formula1>
    </dataValidation>
    <dataValidation type="list" allowBlank="1" showInputMessage="1" showErrorMessage="1" sqref="E35" xr:uid="{9BB1E12D-00A5-40FA-9C02-679872E7236D}">
      <formula1>INDIRECT("features_listed_values!$D$252:$D$256")</formula1>
    </dataValidation>
    <dataValidation type="list" allowBlank="1" showInputMessage="1" showErrorMessage="1" sqref="E36" xr:uid="{1F31CE09-C823-4156-B97F-F0C700C6956C}">
      <formula1>INDIRECT("features_listed_values!$D$257:$D$262")</formula1>
    </dataValidation>
    <dataValidation type="list" allowBlank="1" showInputMessage="1" showErrorMessage="1" sqref="E37" xr:uid="{1EE4F259-3A9A-4E98-9C3A-C797D37F5E0A}">
      <formula1>INDIRECT("features_listed_values!$D$263:$D$271")</formula1>
    </dataValidation>
    <dataValidation type="list" allowBlank="1" showInputMessage="1" showErrorMessage="1" sqref="E38" xr:uid="{8E677C4E-ED1F-4668-9DB7-A49986CAAFCF}">
      <formula1>INDIRECT("features_listed_values!$D$272:$D$287")</formula1>
    </dataValidation>
    <dataValidation type="list" allowBlank="1" showInputMessage="1" showErrorMessage="1" sqref="E39" xr:uid="{90CBB573-34F3-432A-9EA6-83117E147236}">
      <formula1>INDIRECT("features_listed_values!$D$288:$D$300")</formula1>
    </dataValidation>
    <dataValidation type="list" allowBlank="1" showInputMessage="1" showErrorMessage="1" sqref="E40" xr:uid="{E117A106-EA11-48DA-B748-87BF32466C75}">
      <formula1>INDIRECT("features_listed_values!$D$301:$D$309")</formula1>
    </dataValidation>
    <dataValidation type="list" allowBlank="1" showInputMessage="1" showErrorMessage="1" sqref="E41" xr:uid="{5ADE1F66-A9AB-44D9-8763-9795F9705038}">
      <formula1>INDIRECT("features_listed_values!$D$310:$D$318")</formula1>
    </dataValidation>
    <dataValidation type="list" allowBlank="1" showInputMessage="1" showErrorMessage="1" sqref="E42" xr:uid="{4DE4145F-4DB8-4C3F-A9CA-D2211190E300}">
      <formula1>INDIRECT("features_listed_values!$D$319:$D$323")</formula1>
    </dataValidation>
    <dataValidation type="list" allowBlank="1" showInputMessage="1" showErrorMessage="1" sqref="E43" xr:uid="{022BE963-83D4-4F4A-902A-BB13404DC67F}">
      <formula1>INDIRECT("features_listed_values!$D$324:$D$328")</formula1>
    </dataValidation>
    <dataValidation type="list" allowBlank="1" showInputMessage="1" showErrorMessage="1" sqref="E44" xr:uid="{8174E929-0B99-4C1F-B55A-365DF06BF423}">
      <formula1>INDIRECT("features_listed_values!$D$329:$D$341")</formula1>
    </dataValidation>
    <dataValidation type="list" allowBlank="1" showInputMessage="1" showErrorMessage="1" sqref="E45" xr:uid="{D8643B8F-7411-4BF2-8B29-857E636F8F80}">
      <formula1>INDIRECT("features_listed_values!$D$342:$D$354")</formula1>
    </dataValidation>
    <dataValidation type="list" allowBlank="1" showInputMessage="1" showErrorMessage="1" sqref="E46" xr:uid="{B1A4BC13-4DA2-407C-A34B-0A08EC65C058}">
      <formula1>INDIRECT("features_listed_values!$D$355:$D$361")</formula1>
    </dataValidation>
    <dataValidation type="list" allowBlank="1" showInputMessage="1" showErrorMessage="1" sqref="E47" xr:uid="{E73667E7-F9F6-426F-9472-AE4B572F22DD}">
      <formula1>INDIRECT("features_listed_values!$D$362:$D$369")</formula1>
    </dataValidation>
    <dataValidation type="list" allowBlank="1" showInputMessage="1" showErrorMessage="1" sqref="E48" xr:uid="{57F62BA6-DA3A-497E-8B83-B7A9AF782622}">
      <formula1>INDIRECT("features_listed_values!$D$370:$D$377")</formula1>
    </dataValidation>
    <dataValidation type="list" allowBlank="1" showInputMessage="1" showErrorMessage="1" sqref="E49" xr:uid="{3CEE1869-229C-4AC7-8CC2-6FFEFA554AD5}">
      <formula1>INDIRECT("features_listed_values!$D$378:$D$387")</formula1>
    </dataValidation>
    <dataValidation type="list" allowBlank="1" showInputMessage="1" showErrorMessage="1" sqref="E50" xr:uid="{27EF8890-AA69-42B7-9842-913B11B873E0}">
      <formula1>INDIRECT("features_listed_values!$D$388:$D$391")</formula1>
    </dataValidation>
    <dataValidation type="list" allowBlank="1" showInputMessage="1" showErrorMessage="1" sqref="E51" xr:uid="{0ED7CE5C-EB96-4D98-8A96-9DFD78E3B88B}">
      <formula1>INDIRECT("features_listed_values!$D$392:$D$404")</formula1>
    </dataValidation>
    <dataValidation type="list" allowBlank="1" showInputMessage="1" showErrorMessage="1" sqref="E52" xr:uid="{F800FB1C-B1F1-4C1B-82F7-4BAE92703DC2}">
      <formula1>INDIRECT("features_listed_values!$D$405:$D$409")</formula1>
    </dataValidation>
    <dataValidation type="list" allowBlank="1" showInputMessage="1" showErrorMessage="1" sqref="E53" xr:uid="{3F8B6CD0-9BB6-4C4D-839D-8ED911EC45DC}">
      <formula1>INDIRECT("features_listed_values!$D$410:$D$423")</formula1>
    </dataValidation>
    <dataValidation type="list" allowBlank="1" showInputMessage="1" showErrorMessage="1" sqref="E54" xr:uid="{19A6592E-CB76-45E2-B68B-2EC307F3331B}">
      <formula1>INDIRECT("features_listed_values!$D$424:$D$432")</formula1>
    </dataValidation>
    <dataValidation type="list" allowBlank="1" showInputMessage="1" showErrorMessage="1" sqref="E55" xr:uid="{1B384898-FB92-4774-A918-CF518D8BB7C2}">
      <formula1>INDIRECT("features_listed_values!$D$433:$D$439")</formula1>
    </dataValidation>
    <dataValidation type="list" allowBlank="1" showInputMessage="1" showErrorMessage="1" sqref="E56" xr:uid="{C7CE587C-4564-4ACB-B870-8D30672604A5}">
      <formula1>INDIRECT("features_listed_values!$D$440:$D$445")</formula1>
    </dataValidation>
    <dataValidation type="list" allowBlank="1" showInputMessage="1" showErrorMessage="1" sqref="E57" xr:uid="{EA8D8A6F-3FBD-4D8C-977C-502335A68137}">
      <formula1>INDIRECT("features_listed_values!$D$446:$D$457")</formula1>
    </dataValidation>
    <dataValidation type="list" allowBlank="1" showInputMessage="1" showErrorMessage="1" sqref="E58" xr:uid="{7B6F5701-7B54-4912-9223-89CE690F0FF7}">
      <formula1>INDIRECT("features_listed_values!$D$458:$D$481")</formula1>
    </dataValidation>
    <dataValidation type="list" allowBlank="1" showInputMessage="1" showErrorMessage="1" sqref="E59" xr:uid="{C2AFC4D6-0CAE-4762-976A-60AC1134F60E}">
      <formula1>INDIRECT("features_listed_values!$D$482:$D$483")</formula1>
    </dataValidation>
    <dataValidation type="list" allowBlank="1" showInputMessage="1" showErrorMessage="1" sqref="E60" xr:uid="{96978ABD-79CE-461D-8E28-9D69FD3B3B91}">
      <formula1>INDIRECT("features_listed_values!$D$484:$D$487")</formula1>
    </dataValidation>
    <dataValidation type="list" allowBlank="1" showInputMessage="1" showErrorMessage="1" sqref="E61" xr:uid="{1F0BBEEC-4897-4F12-95BB-B68CA9B16C60}">
      <formula1>INDIRECT("features_listed_values!$D$488:$D$494")</formula1>
    </dataValidation>
    <dataValidation type="list" allowBlank="1" showInputMessage="1" showErrorMessage="1" sqref="E62" xr:uid="{5D63A073-A38D-4554-8435-3F37A9D46594}">
      <formula1>INDIRECT("features_listed_values!$D$495:$D$501")</formula1>
    </dataValidation>
    <dataValidation type="list" allowBlank="1" showInputMessage="1" showErrorMessage="1" sqref="E63" xr:uid="{38558719-8E49-4976-A525-A757F6F604EE}">
      <formula1>INDIRECT("features_listed_values!$D$502:$D$508")</formula1>
    </dataValidation>
    <dataValidation type="list" allowBlank="1" showInputMessage="1" showErrorMessage="1" sqref="E64" xr:uid="{2740E701-E647-4D8E-A06B-91650AF7FE82}">
      <formula1>INDIRECT("features_listed_values!$D$509:$D$515")</formula1>
    </dataValidation>
    <dataValidation type="list" allowBlank="1" showInputMessage="1" showErrorMessage="1" sqref="E65" xr:uid="{807DFF16-A94E-4B7F-89FA-CBECDC50611E}">
      <formula1>INDIRECT("features_listed_values!$D$516:$D$517")</formula1>
    </dataValidation>
    <dataValidation type="list" allowBlank="1" showInputMessage="1" showErrorMessage="1" sqref="E66" xr:uid="{597F89BB-7C81-4A54-8D16-C5EE475EF50F}">
      <formula1>INDIRECT("features_listed_values!$D$518:$D$520")</formula1>
    </dataValidation>
    <dataValidation type="list" allowBlank="1" showInputMessage="1" showErrorMessage="1" sqref="E67" xr:uid="{AAD630A2-1B96-4569-B1FE-0595CFE1BB31}">
      <formula1>INDIRECT("features_listed_values!$D$521:$D$524")</formula1>
    </dataValidation>
    <dataValidation type="list" allowBlank="1" showInputMessage="1" showErrorMessage="1" sqref="E68" xr:uid="{84C0CD25-CCAE-4442-83A9-28005711761B}">
      <formula1>INDIRECT("features_listed_values!$D$525:$D$528")</formula1>
    </dataValidation>
    <dataValidation type="list" allowBlank="1" showInputMessage="1" showErrorMessage="1" sqref="E69" xr:uid="{12E5407F-0D8C-42DB-8EA8-11820E97570C}">
      <formula1>INDIRECT("features_listed_values!$D$529:$D$532")</formula1>
    </dataValidation>
    <dataValidation type="list" allowBlank="1" showInputMessage="1" showErrorMessage="1" sqref="E70" xr:uid="{4A986636-33C0-4D53-B6E9-1AD43C28A41A}">
      <formula1>INDIRECT("features_listed_values!$D$533:$D$542")</formula1>
    </dataValidation>
    <dataValidation type="list" allowBlank="1" showInputMessage="1" showErrorMessage="1" sqref="E71" xr:uid="{4A85D056-8CCE-47F7-BEFD-75B4FF2DAFAB}">
      <formula1>INDIRECT("features_listed_values!$D$543:$D$548")</formula1>
    </dataValidation>
    <dataValidation type="list" allowBlank="1" showInputMessage="1" showErrorMessage="1" sqref="E72" xr:uid="{0B339BCB-FCCF-411C-ABE7-3E4F56885D45}">
      <formula1>INDIRECT("features_listed_values!$D$549:$D$571")</formula1>
    </dataValidation>
    <dataValidation type="list" allowBlank="1" showInputMessage="1" showErrorMessage="1" sqref="E73" xr:uid="{07B0E64A-F3CC-4A4F-A508-7241474735B0}">
      <formula1>INDIRECT("features_listed_values!$D$572:$D$586")</formula1>
    </dataValidation>
    <dataValidation type="list" allowBlank="1" showInputMessage="1" showErrorMessage="1" sqref="E74" xr:uid="{78FC1FC2-CAD1-418B-AA6A-6E107DFCE7B7}">
      <formula1>INDIRECT("features_listed_values!$D$587:$D$593")</formula1>
    </dataValidation>
    <dataValidation type="list" allowBlank="1" showInputMessage="1" showErrorMessage="1" sqref="E75" xr:uid="{AC6CAB74-2251-4339-BEB9-04F0F7E9374E}">
      <formula1>INDIRECT("features_listed_values!$D$594:$D$629")</formula1>
    </dataValidation>
    <dataValidation type="list" allowBlank="1" showInputMessage="1" showErrorMessage="1" sqref="E76" xr:uid="{E91E1E98-2774-4BC4-8417-FE4EA90B2C68}">
      <formula1>INDIRECT("features_listed_values!$D$630:$D$675")</formula1>
    </dataValidation>
    <dataValidation type="list" allowBlank="1" showInputMessage="1" showErrorMessage="1" sqref="E77" xr:uid="{86C82F46-EB9A-4AE4-8184-D44E5438E259}">
      <formula1>INDIRECT("features_listed_values!$D$676:$D$678")</formula1>
    </dataValidation>
    <dataValidation type="list" allowBlank="1" showInputMessage="1" showErrorMessage="1" sqref="E78" xr:uid="{1CC2185E-AE40-424D-9775-A8D853D718FF}">
      <formula1>INDIRECT("features_listed_values!$D$679:$D$680")</formula1>
    </dataValidation>
    <dataValidation type="list" allowBlank="1" showInputMessage="1" showErrorMessage="1" sqref="E79" xr:uid="{930DB45A-5314-4187-BAE9-FA6CAD27BEFE}">
      <formula1>INDIRECT("features_listed_values!$D$681:$D$682")</formula1>
    </dataValidation>
    <dataValidation type="list" allowBlank="1" showInputMessage="1" showErrorMessage="1" sqref="E80" xr:uid="{5B9DAE4F-BB89-4979-9AF1-97F4819BCE68}">
      <formula1>INDIRECT("features_listed_values!$D$683:$D$700")</formula1>
    </dataValidation>
    <dataValidation type="list" allowBlank="1" showInputMessage="1" showErrorMessage="1" sqref="E81" xr:uid="{A02D77CF-7FEB-4D57-A320-4BE3CB7B2688}">
      <formula1>INDIRECT("features_listed_values!$D$701:$D$702")</formula1>
    </dataValidation>
    <dataValidation type="list" allowBlank="1" showInputMessage="1" showErrorMessage="1" sqref="E82" xr:uid="{D897E63F-083E-4B85-BBB9-231D2396A92A}">
      <formula1>INDIRECT("features_listed_values!$D$703:$D$711")</formula1>
    </dataValidation>
    <dataValidation type="list" allowBlank="1" showInputMessage="1" showErrorMessage="1" sqref="E83" xr:uid="{D207C19C-9043-4246-BA37-9E6C4E71954B}">
      <formula1>INDIRECT("features_listed_values!$D$712:$D$722")</formula1>
    </dataValidation>
    <dataValidation type="list" allowBlank="1" showInputMessage="1" showErrorMessage="1" sqref="E84" xr:uid="{B2C17724-2926-413B-ADB1-22DAB267FDD8}">
      <formula1>INDIRECT("features_listed_values!$D$723:$D$728")</formula1>
    </dataValidation>
    <dataValidation type="list" allowBlank="1" showInputMessage="1" showErrorMessage="1" sqref="E85" xr:uid="{0B771D45-A8FB-4821-8DAE-D9020C5BFF10}">
      <formula1>INDIRECT("features_listed_values!$D$729:$D$731")</formula1>
    </dataValidation>
    <dataValidation type="list" allowBlank="1" showInputMessage="1" showErrorMessage="1" sqref="E86" xr:uid="{F627CE41-C3BA-4E48-B0A2-1D321015D3FF}">
      <formula1>INDIRECT("features_listed_values!$D$732:$D$739")</formula1>
    </dataValidation>
    <dataValidation type="list" allowBlank="1" showInputMessage="1" showErrorMessage="1" sqref="E87" xr:uid="{C6886F86-9669-4C8B-890B-2D6818A35536}">
      <formula1>INDIRECT("features_listed_values!$D$740:$D$761")</formula1>
    </dataValidation>
    <dataValidation type="list" allowBlank="1" showInputMessage="1" showErrorMessage="1" sqref="E88" xr:uid="{5BA63DD2-8AE1-4708-A72E-A659A01D4A04}">
      <formula1>INDIRECT("features_listed_values!$D$762:$D$767")</formula1>
    </dataValidation>
    <dataValidation type="list" allowBlank="1" showInputMessage="1" showErrorMessage="1" sqref="E89" xr:uid="{3E953621-B3AF-4594-B011-94037BAC9044}">
      <formula1>INDIRECT("features_listed_values!$D$768:$D$780")</formula1>
    </dataValidation>
    <dataValidation type="list" allowBlank="1" showInputMessage="1" showErrorMessage="1" sqref="E90" xr:uid="{38A9F57D-6CC3-4ADA-B1BD-30B4EAF5B30D}">
      <formula1>INDIRECT("features_listed_values!$D$781:$D$793")</formula1>
    </dataValidation>
    <dataValidation type="list" allowBlank="1" showInputMessage="1" showErrorMessage="1" sqref="E91" xr:uid="{206A0837-A8C6-4B06-82A8-F13DBDD8259C}">
      <formula1>INDIRECT("features_listed_values!$D$794:$D$837")</formula1>
    </dataValidation>
    <dataValidation type="list" allowBlank="1" showInputMessage="1" showErrorMessage="1" sqref="E92" xr:uid="{625F6DED-2DE8-4B83-A601-3ED6F1F956DA}">
      <formula1>INDIRECT("features_listed_values!$D$838:$D$850")</formula1>
    </dataValidation>
    <dataValidation type="list" allowBlank="1" showInputMessage="1" showErrorMessage="1" sqref="E93" xr:uid="{9977E1A3-1342-4613-92F8-82CFB73048A8}">
      <formula1>INDIRECT("features_listed_values!$D$851:$D$857")</formula1>
    </dataValidation>
    <dataValidation type="list" allowBlank="1" showInputMessage="1" showErrorMessage="1" sqref="E94" xr:uid="{121F2C61-27E0-43D7-92C9-8B0F0E39E33F}">
      <formula1>INDIRECT("features_listed_values!$D$858:$D$872")</formula1>
    </dataValidation>
    <dataValidation type="list" allowBlank="1" showInputMessage="1" showErrorMessage="1" sqref="E95" xr:uid="{92175DFE-E270-42F9-86F6-8B1926457E37}">
      <formula1>INDIRECT("features_listed_values!$D$873:$D$898")</formula1>
    </dataValidation>
    <dataValidation type="list" allowBlank="1" showInputMessage="1" showErrorMessage="1" sqref="E96" xr:uid="{6DE944D2-6A73-4E92-9E7E-060A36B5F29D}">
      <formula1>INDIRECT("features_listed_values!$D$899:$D$909")</formula1>
    </dataValidation>
    <dataValidation type="list" allowBlank="1" showInputMessage="1" showErrorMessage="1" sqref="E97" xr:uid="{AD7321A9-8E0F-410C-BD9F-DD6B89D5FB93}">
      <formula1>INDIRECT("features_listed_values!$D$910:$D$942")</formula1>
    </dataValidation>
    <dataValidation type="list" allowBlank="1" showInputMessage="1" showErrorMessage="1" sqref="E98" xr:uid="{0684D048-5D98-4402-BE7E-54A180400160}">
      <formula1>INDIRECT("features_listed_values!$D$943:$D$953")</formula1>
    </dataValidation>
    <dataValidation type="list" allowBlank="1" showInputMessage="1" showErrorMessage="1" sqref="E99" xr:uid="{370AE5A1-EF6A-4CCA-9A1E-0800E1299CAB}">
      <formula1>INDIRECT("features_listed_values!$D$954:$D$956")</formula1>
    </dataValidation>
    <dataValidation type="list" allowBlank="1" showInputMessage="1" showErrorMessage="1" sqref="E100" xr:uid="{ECC54A1F-2E99-4339-829A-34760375632F}">
      <formula1>INDIRECT("features_listed_values!$D$957:$D$961")</formula1>
    </dataValidation>
    <dataValidation type="list" allowBlank="1" showInputMessage="1" showErrorMessage="1" sqref="E101" xr:uid="{456BA5E7-CAEA-4325-9B90-D8FFD5FE7B91}">
      <formula1>INDIRECT("features_listed_values!$D$962:$D$963")</formula1>
    </dataValidation>
    <dataValidation type="list" allowBlank="1" showInputMessage="1" showErrorMessage="1" sqref="E102" xr:uid="{AE3A3166-E137-4233-B9E2-9F0893AD33E5}">
      <formula1>INDIRECT("features_listed_values!$D$964:$D$966")</formula1>
    </dataValidation>
    <dataValidation type="list" allowBlank="1" showInputMessage="1" showErrorMessage="1" sqref="E103" xr:uid="{2BA75597-2B95-4A93-9465-EC3BD0AB25B3}">
      <formula1>INDIRECT("features_listed_values!$D$967:$D$968")</formula1>
    </dataValidation>
    <dataValidation type="list" allowBlank="1" showInputMessage="1" showErrorMessage="1" sqref="E104" xr:uid="{C9FF0B67-3F58-4481-B7CC-D1FAF41388FE}">
      <formula1>INDIRECT("features_listed_values!$D$969:$D$980")</formula1>
    </dataValidation>
    <dataValidation type="list" allowBlank="1" showInputMessage="1" showErrorMessage="1" sqref="E105" xr:uid="{3FB6F592-422A-4FEE-822D-95BA9159A17C}">
      <formula1>INDIRECT("features_listed_values!$D$981:$D$988")</formula1>
    </dataValidation>
    <dataValidation type="list" allowBlank="1" showInputMessage="1" showErrorMessage="1" sqref="E106" xr:uid="{6A449F0D-57B8-407D-9F28-A9B42EDD1C78}">
      <formula1>INDIRECT("features_listed_values!$D$989:$D$992")</formula1>
    </dataValidation>
    <dataValidation type="list" allowBlank="1" showInputMessage="1" showErrorMessage="1" sqref="E107" xr:uid="{7F325835-5A59-4303-A44D-56225C897092}">
      <formula1>INDIRECT("features_listed_values!$D$993:$D$1001")</formula1>
    </dataValidation>
    <dataValidation type="list" allowBlank="1" showInputMessage="1" showErrorMessage="1" sqref="E108" xr:uid="{72853AFD-CADE-4529-990C-F9229863B411}">
      <formula1>INDIRECT("features_listed_values!$D$1002:$D$1013")</formula1>
    </dataValidation>
    <dataValidation type="list" allowBlank="1" showInputMessage="1" showErrorMessage="1" sqref="E109" xr:uid="{E9BCDFA1-2E58-4247-9EFF-8C08A26E0936}">
      <formula1>INDIRECT("features_listed_values!$D$1014:$D$1015")</formula1>
    </dataValidation>
    <dataValidation type="list" allowBlank="1" showInputMessage="1" showErrorMessage="1" sqref="E110" xr:uid="{0F42F562-D2ED-45AD-8425-91A8A05CDACC}">
      <formula1>INDIRECT("features_listed_values!$D$1016:$D$1038")</formula1>
    </dataValidation>
    <dataValidation type="list" allowBlank="1" showInputMessage="1" showErrorMessage="1" sqref="E111" xr:uid="{9876883D-45B8-488B-B8D0-D194EE3FB8C9}">
      <formula1>INDIRECT("features_listed_values!$D$1039:$D$1049")</formula1>
    </dataValidation>
    <dataValidation type="list" allowBlank="1" showInputMessage="1" showErrorMessage="1" sqref="E112" xr:uid="{06862DA0-20BE-4960-97EC-4BBA09A23242}">
      <formula1>INDIRECT("features_listed_values!$D$1050:$D$1054")</formula1>
    </dataValidation>
    <dataValidation type="list" allowBlank="1" showInputMessage="1" showErrorMessage="1" sqref="E113" xr:uid="{92372232-0B9F-4267-B471-9F3ABA85FBB5}">
      <formula1>INDIRECT("features_listed_values!$D$1055:$D$1064")</formula1>
    </dataValidation>
    <dataValidation type="list" allowBlank="1" showInputMessage="1" showErrorMessage="1" sqref="E114" xr:uid="{949C4C02-4E48-47D0-BD8E-58998FDB098C}">
      <formula1>INDIRECT("features_listed_values!$D$1065:$D$1080")</formula1>
    </dataValidation>
    <dataValidation type="list" allowBlank="1" showInputMessage="1" showErrorMessage="1" sqref="E115" xr:uid="{3FAC27C0-213F-4EF7-8267-B49D37413F9C}">
      <formula1>INDIRECT("features_listed_values!$D$1081:$D$1098")</formula1>
    </dataValidation>
    <dataValidation type="list" allowBlank="1" showInputMessage="1" showErrorMessage="1" sqref="E116:E117" xr:uid="{383306A6-2BE7-4E2E-B5E8-B6D8D75DD8B8}">
      <formula1>INDIRECT("features_listed_values!$D$1099:$D$1111")</formula1>
    </dataValidation>
    <dataValidation type="list" allowBlank="1" showInputMessage="1" showErrorMessage="1" sqref="E118" xr:uid="{973F0684-F65D-44C3-BA5B-76C88F0D382B}">
      <formula1>INDIRECT("features_listed_values!$D$1116:$D$1142")</formula1>
    </dataValidation>
    <dataValidation type="list" allowBlank="1" showInputMessage="1" showErrorMessage="1" sqref="E119" xr:uid="{7E58B69E-A6D5-4903-8AAA-B98995CD607D}">
      <formula1>INDIRECT("features_listed_values!$D$1143:$D$1163")</formula1>
    </dataValidation>
    <dataValidation type="list" allowBlank="1" showInputMessage="1" showErrorMessage="1" sqref="E120" xr:uid="{0ABB7B90-5F75-4C07-B5FB-2C086D13B2CB}">
      <formula1>INDIRECT("features_listed_values!$D$1164:$D$1170")</formula1>
    </dataValidation>
    <dataValidation type="list" allowBlank="1" showInputMessage="1" showErrorMessage="1" sqref="E121" xr:uid="{79516CAF-44FA-4C38-8692-280BB613FAF9}">
      <formula1>INDIRECT("features_listed_values!$D$1171:$D$1180")</formula1>
    </dataValidation>
    <dataValidation type="list" allowBlank="1" showInputMessage="1" showErrorMessage="1" sqref="E122" xr:uid="{C3B26F93-44C2-46DA-8680-D34D76C8751C}">
      <formula1>INDIRECT("features_listed_values!$D$1181:$D$1183")</formula1>
    </dataValidation>
    <dataValidation type="list" allowBlank="1" showInputMessage="1" showErrorMessage="1" sqref="E123" xr:uid="{9706D0FD-50F3-4708-8041-03218A680F72}">
      <formula1>INDIRECT("features_listed_values!$D$1184:$D$1195")</formula1>
    </dataValidation>
    <dataValidation type="list" allowBlank="1" showInputMessage="1" showErrorMessage="1" sqref="E124" xr:uid="{B4E5A2AE-9EC0-47FE-BCC9-5BBF611F119F}">
      <formula1>INDIRECT("features_listed_values!$D$1196:$D$1199")</formula1>
    </dataValidation>
    <dataValidation type="list" allowBlank="1" showInputMessage="1" showErrorMessage="1" sqref="E125" xr:uid="{95C726A2-DD6E-4B64-A614-1FD9222B478A}">
      <formula1>INDIRECT("features_listed_values!$D$1200:$D$1201")</formula1>
    </dataValidation>
    <dataValidation type="list" allowBlank="1" showInputMessage="1" showErrorMessage="1" sqref="E127" xr:uid="{1E84D8A9-57A2-4E53-8132-5543DC43689F}">
      <formula1>INDIRECT("features_listed_values!$D$1206:$D$1209")</formula1>
    </dataValidation>
    <dataValidation type="list" allowBlank="1" showInputMessage="1" showErrorMessage="1" sqref="E128" xr:uid="{B8323F1B-AA5F-4536-AD05-7EEDFCFE9D69}">
      <formula1>INDIRECT("features_listed_values!$D$1210:$D$1212")</formula1>
    </dataValidation>
    <dataValidation type="list" allowBlank="1" showInputMessage="1" showErrorMessage="1" sqref="E129" xr:uid="{52FD23B9-BB31-453D-9E1A-EFD03409FC72}">
      <formula1>INDIRECT("features_listed_values!$D$1213:$D$1217")</formula1>
    </dataValidation>
    <dataValidation type="list" allowBlank="1" showInputMessage="1" showErrorMessage="1" sqref="E130" xr:uid="{BCCF9EB2-14F5-4505-82DB-B8C1D913431A}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 xr:uid="{9905E106-A268-46C3-A6B5-B59CCB2809B7}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 xr:uid="{0837B873-27A5-4C2F-B65F-43B1E92DFF01}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A128C-6BB7-4356-B881-E2D551D69773}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6A0B0-2A16-45D9-9B95-D04898D57272}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Dmitry Kolomatskiy</cp:lastModifiedBy>
  <cp:lastPrinted>2022-07-21T16:09:51Z</cp:lastPrinted>
  <dcterms:created xsi:type="dcterms:W3CDTF">2021-07-06T13:49:41Z</dcterms:created>
  <dcterms:modified xsi:type="dcterms:W3CDTF">2025-05-22T13:57:32Z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