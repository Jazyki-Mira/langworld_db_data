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NOR\Downloads\"/>
    </mc:Choice>
  </mc:AlternateContent>
  <bookViews>
    <workbookView xWindow="0" yWindow="0" windowWidth="23040" windowHeight="9780" firstSheet="1" activeTab="1"/>
  </bookViews>
  <sheets>
    <sheet name="Лист1" sheetId="12" state="hidden" r:id="rId1"/>
    <sheet name="input" sheetId="3" r:id="rId2"/>
    <sheet name="features" sheetId="11" state="hidden" r:id="rId3"/>
    <sheet name="features_listed_values" sheetId="9" state="hidden" r:id="rId4"/>
  </sheets>
  <functionGroups builtInGroupCount="18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2" hidden="1">features!$A$1:$C$130</definedName>
    <definedName name="ExternalData_1" localSheetId="3" hidden="1">features_listed_values!$A$1:$D$1220</definedName>
    <definedName name="ExternalData_1" localSheetId="0" hidden="1">Лист1!$A$1:$H$130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7" i="3" l="1"/>
  <c r="D117" i="3"/>
  <c r="B128" i="3"/>
  <c r="B129" i="3"/>
  <c r="D128" i="3"/>
  <c r="D129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30" i="3"/>
  <c r="D130" i="3"/>
  <c r="D131" i="3"/>
</calcChain>
</file>

<file path=xl/comments1.xml><?xml version="1.0" encoding="utf-8"?>
<comments xmlns="http://schemas.openxmlformats.org/spreadsheetml/2006/main">
  <authors>
    <author>Dmitry Kolomatskiy</author>
  </authors>
  <commentList>
    <comment ref="C1" authorId="0" shapeId="0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1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keepAlive="1" name="Подключение" type="5" refreshedVersion="0" background="1">
    <dbPr connection="Provider=Microsoft.Mashup.OleDb.1;Data Source=$Workbook$;Location=afrikaans;Extended Properties=&quot;&quot;" commandType="0"/>
  </connection>
  <connection id="4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keepAlive="1" name="Подключение4" type="5" refreshedVersion="0" background="1">
    <dbPr connection="Provider=Microsoft.Mashup.OleDb.1;Data Source=$Workbook$;Location=afrikaans;Extended Properties=&quot;&quot;" commandType="0"/>
  </connection>
  <connection id="8" keepAlive="1" name="Подключение5" type="5" refreshedVersion="8" background="1" saveData="1">
    <dbPr connection="Provider=Microsoft.Mashup.OleDb.1;Data Source=$Workbook$;Location=mingrelian;Extended Properties=&quot;&quot;" command="SELECT * FROM [mingrelian]"/>
  </connection>
</connections>
</file>

<file path=xl/sharedStrings.xml><?xml version="1.0" encoding="utf-8"?>
<sst xmlns="http://schemas.openxmlformats.org/spreadsheetml/2006/main" count="6967" uniqueCount="3917">
  <si>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</si>
  <si>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</si>
  <si>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</si>
  <si>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</si>
  <si>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</si>
  <si>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</si>
  <si>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</si>
  <si>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</si>
  <si>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</si>
  <si>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</si>
  <si>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</si>
  <si>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</si>
  <si>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</si>
  <si>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</si>
  <si>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</si>
  <si>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</si>
  <si>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</si>
  <si>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</si>
  <si>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</si>
  <si>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</si>
  <si>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</si>
  <si>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</si>
  <si>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</si>
  <si>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</si>
  <si>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</si>
  <si>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</si>
  <si>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</si>
  <si>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</si>
  <si>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</si>
  <si>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</si>
  <si>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</si>
  <si>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</si>
  <si>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</si>
  <si>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</si>
  <si>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</si>
  <si>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</si>
  <si>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</si>
  <si>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</si>
  <si>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</si>
  <si>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</si>
  <si>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</si>
  <si>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</si>
  <si>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</si>
  <si>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</si>
  <si>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</si>
  <si>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</si>
  <si>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</si>
  <si>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</si>
  <si>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</si>
  <si>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</si>
  <si>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</si>
  <si>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</si>
  <si>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</si>
  <si>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</si>
  <si>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</si>
  <si>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</si>
  <si>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</si>
  <si>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</si>
  <si>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</si>
  <si>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</si>
  <si>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</si>
  <si>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</si>
  <si>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</si>
  <si>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</si>
  <si>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</si>
  <si>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</si>
  <si>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</si>
  <si>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</si>
  <si>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</si>
  <si>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</si>
  <si>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</si>
  <si>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</si>
  <si>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</si>
  <si>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</si>
  <si>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</si>
  <si>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</si>
  <si>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</si>
  <si>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</si>
  <si>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</si>
  <si>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</si>
  <si>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</si>
  <si>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</si>
  <si>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</si>
  <si>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</si>
  <si>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</si>
  <si>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</si>
  <si>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</si>
  <si>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</si>
  <si>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</si>
  <si>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</si>
  <si>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</si>
  <si>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</si>
  <si>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</si>
  <si>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</si>
  <si>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</si>
  <si>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</si>
  <si>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</si>
  <si>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</si>
  <si>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</si>
  <si>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</si>
  <si>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</si>
  <si>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</si>
  <si>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</si>
  <si>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</si>
  <si>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</si>
  <si>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</si>
  <si>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</si>
  <si>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</si>
  <si>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</si>
  <si>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</si>
  <si>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</si>
  <si>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</si>
  <si>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</si>
  <si>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</si>
  <si>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</si>
  <si>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</si>
  <si>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</si>
  <si>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</si>
  <si>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</si>
  <si>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</si>
  <si>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</si>
  <si>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</si>
  <si>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</si>
  <si>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</si>
  <si>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</si>
  <si>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</si>
  <si>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</si>
  <si>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</si>
  <si>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</si>
  <si>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</si>
  <si>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</si>
  <si>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</si>
  <si>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</si>
  <si>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</si>
  <si>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</si>
  <si>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</si>
  <si>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</si>
  <si>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</si>
  <si>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</si>
  <si>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</si>
  <si>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</si>
  <si>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</si>
  <si>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</si>
  <si>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</si>
  <si>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</si>
  <si>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</si>
  <si>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</si>
  <si>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</si>
  <si>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</si>
  <si>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</si>
  <si>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</si>
  <si>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</si>
  <si>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</si>
  <si>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</si>
  <si>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</si>
  <si>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</si>
  <si>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</si>
  <si>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</si>
  <si>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</si>
  <si>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</si>
  <si>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</si>
  <si>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</si>
  <si>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</si>
  <si>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</si>
  <si>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</si>
  <si>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</si>
  <si>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</si>
  <si>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</si>
  <si>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</si>
  <si>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</si>
  <si>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</si>
  <si>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</si>
  <si>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</si>
  <si>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</si>
  <si>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</si>
  <si>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</si>
  <si>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</si>
  <si>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</si>
  <si>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</si>
  <si>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</si>
  <si>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</si>
  <si>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</si>
  <si>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</si>
  <si>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</si>
  <si>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</si>
  <si>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</si>
  <si>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</si>
  <si>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</si>
  <si>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</si>
  <si>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</si>
  <si>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</si>
  <si>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</si>
  <si>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</si>
  <si>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</si>
  <si>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</si>
  <si>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</si>
  <si>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</si>
  <si>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</si>
  <si>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</si>
  <si>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</si>
  <si>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</si>
  <si>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</si>
  <si>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</si>
  <si>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</si>
  <si>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</si>
  <si>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</si>
  <si>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</si>
  <si>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</si>
  <si>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</si>
  <si>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</si>
  <si>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</si>
  <si>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</si>
  <si>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</si>
  <si>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</si>
  <si>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</si>
  <si>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</si>
  <si>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</si>
  <si>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</si>
  <si>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</si>
  <si>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</si>
  <si>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</si>
  <si>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</si>
  <si>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</si>
  <si>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</si>
  <si>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</si>
  <si>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</si>
  <si>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</si>
  <si>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</si>
  <si>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</si>
  <si>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</si>
  <si>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</si>
  <si>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</si>
  <si>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</si>
  <si>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</si>
  <si>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</si>
  <si>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</si>
  <si>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</si>
  <si>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</si>
  <si>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</si>
  <si>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</si>
  <si>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</si>
  <si>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</si>
  <si>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</si>
  <si>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</si>
  <si>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</si>
  <si>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</si>
  <si>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</si>
  <si>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</si>
  <si>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</si>
  <si>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</si>
  <si>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</si>
  <si>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</si>
  <si>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</si>
  <si>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</si>
  <si>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</si>
  <si>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</si>
  <si>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</si>
  <si>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</si>
  <si>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</si>
  <si>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</si>
  <si>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</si>
  <si>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</si>
  <si>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</si>
  <si>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</si>
  <si>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</si>
  <si>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</si>
  <si>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</si>
  <si>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</si>
  <si>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</si>
  <si>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</si>
  <si>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</si>
  <si>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</si>
  <si>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</si>
  <si>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</si>
  <si>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</si>
  <si>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</si>
  <si>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</si>
  <si>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</si>
  <si>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</si>
  <si>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</si>
  <si>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</si>
  <si>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</si>
  <si>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</si>
  <si>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</si>
  <si>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</si>
  <si>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</si>
  <si>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</si>
  <si>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</si>
  <si>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</si>
  <si>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</si>
  <si>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</si>
  <si>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</si>
  <si>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</si>
  <si>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</si>
  <si>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</si>
  <si>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</si>
  <si>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</si>
  <si>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</si>
  <si>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</si>
  <si>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</si>
  <si>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</si>
  <si>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</si>
  <si>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</si>
  <si>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</si>
  <si>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</si>
  <si>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</si>
  <si>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</si>
  <si>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</si>
  <si>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</si>
  <si>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</si>
  <si>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</si>
  <si>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</si>
  <si>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</si>
  <si>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</si>
  <si>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</si>
  <si>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</si>
  <si>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</si>
  <si>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</si>
  <si>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</si>
  <si>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</si>
  <si>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</si>
  <si>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</si>
  <si>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</si>
  <si>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</si>
  <si>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</si>
  <si>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</si>
  <si>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</si>
  <si>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</si>
  <si>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</si>
  <si>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</si>
  <si>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</si>
  <si>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</si>
  <si>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</si>
  <si>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</si>
  <si>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</si>
  <si>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</si>
  <si>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</si>
  <si>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</si>
  <si>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</si>
  <si>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</si>
  <si>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</si>
  <si>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</si>
  <si>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</si>
  <si>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</si>
  <si>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</si>
  <si>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</si>
  <si>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</si>
  <si>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</si>
  <si>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</si>
  <si>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</si>
  <si>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</si>
  <si>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</si>
  <si>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</si>
  <si>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</si>
  <si>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</si>
  <si>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</si>
  <si>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</si>
  <si>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</si>
  <si>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</si>
  <si>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</si>
  <si>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</si>
  <si>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</si>
  <si>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</si>
  <si>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</si>
  <si>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</si>
  <si>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</si>
  <si>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</si>
  <si>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</si>
  <si>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</si>
  <si>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</si>
  <si>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</si>
  <si>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</si>
  <si>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</si>
  <si>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</si>
  <si>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</si>
  <si>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</si>
  <si>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</si>
  <si>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</si>
  <si>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</si>
  <si>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</si>
  <si>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</si>
  <si>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</si>
  <si>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</si>
  <si>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</si>
  <si>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</si>
  <si>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</si>
  <si>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</si>
  <si>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</si>
  <si>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</si>
  <si>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</si>
  <si>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</si>
  <si>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</si>
  <si>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</si>
  <si>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</si>
  <si>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</si>
  <si>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</si>
  <si>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</si>
  <si>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</si>
  <si>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</si>
  <si>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</si>
  <si>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</si>
  <si>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</si>
  <si>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</si>
  <si>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</si>
  <si>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</si>
  <si>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</si>
  <si>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</si>
  <si>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</si>
  <si>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</si>
  <si>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</si>
  <si>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</si>
  <si>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</si>
  <si>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</si>
  <si>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</si>
  <si>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</si>
  <si>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</si>
  <si>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</si>
  <si>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</si>
  <si>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</si>
  <si>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</si>
  <si>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</si>
  <si>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</si>
  <si>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</si>
  <si>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</si>
  <si>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</si>
  <si>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</si>
  <si>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</si>
  <si>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</si>
  <si>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</si>
  <si>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</si>
  <si>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</si>
  <si>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</si>
  <si>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</si>
  <si>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</si>
  <si>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</si>
  <si>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</si>
  <si>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</si>
  <si>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</si>
  <si>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</si>
  <si>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</si>
  <si>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</si>
  <si>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</si>
  <si>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</si>
  <si>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</si>
  <si>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</si>
  <si>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</si>
  <si>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</si>
  <si>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</si>
  <si>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</si>
  <si>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</si>
  <si>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</si>
  <si>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</si>
  <si>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</si>
  <si>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</si>
  <si>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</si>
  <si>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</si>
  <si>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</si>
  <si>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</si>
  <si>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</si>
  <si>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</si>
  <si>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</si>
  <si>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</si>
  <si>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</si>
  <si>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</si>
  <si>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</si>
  <si>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</si>
  <si>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</si>
  <si>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</si>
  <si>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</si>
  <si>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</si>
  <si>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</si>
  <si>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</si>
  <si>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</si>
  <si>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</si>
  <si>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</si>
  <si>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</si>
  <si>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</si>
  <si>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</si>
  <si>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</si>
  <si>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</si>
  <si>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</si>
  <si>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</si>
  <si>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</si>
  <si>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</si>
  <si>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</si>
  <si>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</si>
  <si>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</si>
  <si>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</si>
  <si>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</si>
  <si>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</si>
  <si>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</si>
  <si>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</si>
  <si>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</si>
  <si>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</si>
  <si>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</si>
  <si>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</si>
  <si>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</si>
  <si>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</si>
  <si>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</si>
  <si>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</si>
  <si>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</si>
  <si>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</si>
  <si>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</si>
  <si>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</si>
  <si>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</si>
  <si>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</si>
  <si>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</si>
  <si>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</si>
  <si>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</si>
  <si>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</si>
  <si>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</si>
  <si>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</si>
  <si>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</si>
  <si>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</si>
  <si>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</si>
  <si>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</si>
  <si>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</si>
  <si>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</si>
  <si>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</si>
  <si>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</si>
  <si>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</si>
  <si>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</si>
  <si>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</si>
  <si>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</si>
  <si>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</si>
  <si>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</si>
  <si>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</si>
  <si>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</si>
  <si>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</si>
  <si>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</si>
  <si>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</si>
  <si>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</si>
  <si>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</si>
  <si>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</si>
  <si>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</si>
  <si>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</si>
  <si>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</si>
  <si>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</si>
  <si>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</si>
  <si>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</si>
  <si>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</si>
  <si>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</si>
  <si>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</si>
  <si>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</si>
  <si>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</si>
  <si>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</si>
  <si>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</si>
  <si>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</si>
  <si>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</si>
  <si>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</si>
  <si>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</si>
  <si>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</si>
  <si>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</si>
  <si>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</si>
  <si>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</si>
  <si>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</si>
  <si>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</si>
  <si>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</si>
  <si>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</si>
  <si>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</si>
  <si>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</si>
  <si>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</si>
  <si>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</si>
  <si>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</si>
  <si>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</si>
  <si>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</si>
  <si>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</si>
  <si>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</si>
  <si>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</si>
  <si>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</si>
  <si>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</si>
  <si>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</si>
  <si>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</si>
  <si>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</si>
  <si>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</si>
  <si>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</si>
  <si>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</si>
  <si>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</si>
  <si>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</si>
  <si>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</si>
  <si>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</si>
  <si>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</si>
  <si>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</si>
  <si>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</si>
  <si>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</si>
  <si>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</si>
  <si>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</si>
  <si>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</si>
  <si>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</si>
  <si>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</si>
  <si>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</si>
  <si>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</si>
  <si>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</si>
  <si>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</si>
  <si>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</si>
  <si>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</si>
  <si>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</si>
  <si>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</si>
  <si>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</si>
  <si>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</si>
  <si>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</si>
  <si>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</si>
  <si>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</si>
  <si>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</si>
  <si>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</si>
  <si>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</si>
  <si>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</si>
  <si>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</si>
  <si>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</si>
  <si>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</si>
  <si>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</si>
  <si>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</si>
  <si>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</si>
  <si>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</si>
  <si>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</si>
  <si>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</si>
  <si>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</si>
  <si>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</si>
  <si>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</si>
  <si>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</si>
  <si>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</si>
  <si>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</si>
  <si>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</si>
  <si>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</si>
  <si>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</si>
  <si>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</si>
  <si>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</si>
  <si>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</si>
  <si>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</si>
  <si>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</si>
  <si>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</si>
  <si>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</si>
  <si>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</si>
  <si>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</si>
  <si>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</si>
  <si>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</si>
  <si>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</si>
  <si>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</si>
  <si>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</si>
  <si>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</si>
  <si>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</si>
  <si>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</si>
  <si>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</si>
  <si>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</si>
  <si>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</si>
  <si>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</si>
  <si>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</si>
  <si>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</si>
  <si>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</si>
  <si>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</si>
  <si>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</si>
  <si>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</si>
  <si>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</si>
  <si>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</si>
  <si>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</si>
  <si>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</si>
  <si>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</si>
  <si>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</si>
  <si>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</si>
  <si>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</si>
  <si>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</si>
  <si>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</si>
  <si>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</si>
  <si>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</si>
  <si>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</si>
  <si>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</si>
  <si>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</si>
  <si>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</si>
  <si>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</si>
  <si>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</si>
  <si>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</si>
  <si>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</si>
  <si>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</si>
  <si>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</si>
  <si>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</si>
  <si>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</si>
  <si>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</si>
  <si>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</si>
  <si>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</si>
  <si>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</si>
  <si>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</si>
  <si>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</si>
  <si>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</si>
  <si>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</si>
  <si>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</si>
  <si>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</si>
  <si>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</si>
  <si>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</si>
  <si>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</si>
  <si>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</si>
  <si>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</si>
  <si>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</si>
  <si>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</si>
  <si>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</si>
  <si>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</si>
  <si>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</si>
  <si>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</si>
  <si>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</si>
  <si>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</si>
  <si>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</si>
  <si>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</si>
  <si>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</si>
  <si>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</si>
  <si>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</si>
  <si>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</si>
  <si>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</si>
  <si>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</si>
  <si>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</si>
  <si>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</si>
  <si>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</si>
  <si>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</si>
  <si>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</si>
  <si>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</si>
  <si>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</si>
  <si>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</si>
  <si>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</si>
  <si>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</si>
  <si>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</si>
  <si>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</si>
  <si>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</si>
  <si>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</si>
  <si>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</si>
  <si>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</si>
  <si>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</si>
  <si>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</si>
  <si>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</si>
  <si>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</si>
  <si>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</si>
  <si>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</si>
  <si>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</si>
  <si>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</si>
  <si>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</si>
  <si>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</si>
  <si>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</si>
  <si>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</si>
  <si>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</si>
  <si>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</si>
  <si>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</si>
  <si>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</si>
  <si>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</si>
  <si>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</si>
  <si>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</si>
  <si>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</si>
  <si>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</si>
  <si>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</si>
  <si>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</si>
  <si>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</si>
  <si>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</si>
  <si>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</si>
  <si>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</si>
  <si>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</si>
  <si>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</si>
  <si>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</si>
  <si>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</si>
  <si>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</si>
  <si>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</si>
  <si>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</si>
  <si>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</si>
  <si>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</si>
  <si>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</si>
  <si>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</si>
  <si>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</si>
  <si>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</si>
  <si>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</si>
  <si>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</si>
  <si>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</si>
  <si>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</si>
  <si>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</si>
  <si>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</si>
  <si>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</si>
  <si>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</si>
  <si>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</si>
  <si>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</si>
  <si>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</si>
  <si>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</si>
  <si>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</si>
  <si>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</si>
  <si>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</si>
  <si>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</si>
  <si>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</si>
  <si>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</si>
  <si>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</si>
  <si>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</si>
  <si>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</si>
  <si>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</si>
  <si>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</si>
  <si>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</si>
  <si>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</si>
  <si>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</si>
  <si>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</si>
  <si>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</si>
  <si>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</si>
  <si>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</si>
  <si>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</si>
  <si>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</si>
  <si>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</si>
  <si>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</si>
  <si>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</si>
  <si>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</si>
  <si>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</si>
  <si>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</si>
  <si>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</si>
  <si>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</si>
  <si>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</si>
  <si>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</si>
  <si>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</si>
  <si>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</si>
  <si>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</si>
  <si>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</si>
  <si>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</si>
  <si>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</si>
  <si>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</si>
  <si>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</si>
  <si>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</si>
  <si>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</si>
  <si>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</si>
  <si>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</si>
  <si>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</si>
  <si>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</si>
  <si>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</si>
  <si>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</si>
  <si>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</si>
  <si>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</si>
  <si>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</si>
  <si>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</si>
  <si>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</si>
  <si>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</si>
  <si>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</si>
  <si>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</si>
  <si>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</si>
  <si>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</si>
  <si>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</si>
  <si>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</si>
  <si>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</si>
  <si>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</si>
  <si>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</si>
  <si>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</si>
  <si>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</si>
  <si>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</si>
  <si>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</si>
  <si>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</si>
  <si>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</si>
  <si>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</si>
  <si>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</si>
  <si>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</si>
  <si>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</si>
  <si>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</si>
  <si>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</si>
  <si>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</si>
  <si>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</si>
  <si>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</si>
  <si>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</si>
  <si>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</si>
  <si>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</si>
  <si>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</si>
  <si>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</si>
  <si>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</si>
  <si>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</si>
  <si>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</si>
  <si>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</si>
  <si>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</si>
  <si>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</si>
  <si>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</si>
  <si>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</si>
  <si>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</si>
  <si>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</si>
  <si>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</si>
  <si>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</si>
  <si>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</si>
  <si>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</si>
  <si>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</si>
  <si>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</si>
  <si>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</si>
  <si>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</si>
  <si>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</si>
  <si>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</si>
  <si>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</si>
  <si>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</si>
  <si>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</si>
  <si>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</si>
  <si>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</si>
  <si>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</si>
  <si>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</si>
  <si>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</si>
  <si>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</si>
  <si>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</si>
  <si>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</si>
  <si>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</si>
  <si>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</si>
  <si>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</si>
  <si>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</si>
  <si>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</si>
  <si>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</si>
  <si>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</si>
  <si>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</si>
  <si>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</si>
  <si>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</si>
  <si>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</si>
  <si>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</si>
  <si>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</si>
  <si>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</si>
  <si>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</si>
  <si>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</si>
  <si>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</si>
  <si>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</si>
  <si>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</si>
  <si>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</si>
  <si>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</si>
  <si>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</si>
  <si>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</si>
  <si>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</si>
  <si>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</si>
  <si>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</si>
  <si>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</si>
  <si>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</si>
  <si>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</si>
  <si>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</si>
  <si>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</si>
  <si>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</si>
  <si>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</si>
  <si>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</si>
  <si>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</si>
  <si>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</si>
  <si>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</si>
  <si>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</si>
  <si>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</si>
  <si>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</si>
  <si>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</si>
  <si>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</si>
  <si>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</si>
  <si>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</si>
  <si>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</si>
  <si>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</si>
  <si>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</si>
  <si>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</si>
  <si>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</si>
  <si>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</si>
  <si>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</si>
  <si>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</si>
  <si>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</si>
  <si>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</si>
  <si>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</si>
  <si>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</si>
  <si>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</si>
  <si>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</si>
  <si>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</si>
  <si>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</si>
  <si>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</si>
  <si>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</si>
  <si>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</si>
  <si>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</si>
  <si>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</si>
  <si>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</si>
  <si>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</si>
  <si>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</si>
  <si>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</si>
  <si>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</si>
  <si>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</si>
  <si>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</si>
  <si>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</si>
  <si>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</si>
  <si>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</si>
  <si>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</si>
  <si>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</si>
  <si>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</si>
  <si>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</si>
  <si>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</si>
  <si>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</si>
  <si>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</si>
  <si>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</si>
  <si>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</si>
  <si>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</si>
  <si>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</si>
  <si>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</si>
  <si>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</si>
  <si>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</si>
  <si>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</si>
  <si>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</si>
  <si>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</si>
  <si>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</si>
  <si>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</si>
  <si>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</si>
  <si>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</si>
  <si>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</si>
  <si>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</si>
  <si>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</si>
  <si>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</si>
  <si>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</si>
  <si>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</si>
  <si>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</si>
  <si>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</si>
  <si>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</si>
  <si>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</si>
  <si>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</si>
  <si>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</si>
  <si>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</si>
  <si>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</si>
  <si>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</si>
  <si>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</si>
  <si>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</si>
  <si>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</si>
  <si>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</si>
  <si>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</si>
  <si>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</si>
  <si>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</si>
  <si>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</si>
  <si>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</si>
  <si>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</si>
  <si>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</si>
  <si>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</si>
  <si>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</si>
  <si>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</si>
  <si>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</si>
  <si>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</si>
  <si>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</si>
  <si>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</si>
  <si>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</si>
  <si>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</si>
  <si>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</si>
  <si>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</si>
  <si>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</si>
  <si>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</si>
  <si>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</si>
  <si>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</si>
  <si>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</si>
  <si>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</si>
  <si>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</si>
  <si>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</si>
  <si>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</si>
  <si>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</si>
  <si>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</si>
  <si>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</si>
  <si>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</si>
  <si>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</si>
  <si>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</si>
  <si>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</si>
  <si>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</si>
  <si>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</si>
  <si>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</si>
  <si>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</si>
  <si>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</si>
  <si>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</si>
  <si>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</si>
  <si>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</si>
  <si>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</si>
  <si>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</si>
  <si>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</si>
  <si>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</si>
  <si>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</si>
  <si>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</si>
  <si>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</si>
  <si>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</si>
  <si>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</si>
  <si>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</si>
  <si>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</si>
  <si>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</si>
  <si>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</si>
  <si>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</si>
  <si>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</si>
  <si>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</si>
  <si>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</si>
  <si>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</si>
  <si>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</si>
  <si>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</si>
  <si>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</si>
  <si>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</si>
  <si>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</si>
  <si>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</si>
  <si>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</si>
  <si>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</si>
  <si>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</si>
  <si>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</si>
  <si>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</si>
  <si>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</si>
  <si>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</si>
  <si>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</si>
  <si>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</si>
  <si>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</si>
  <si>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</si>
  <si>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</si>
  <si>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</si>
  <si>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</si>
  <si>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</si>
  <si>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</si>
  <si>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</si>
  <si>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</si>
  <si>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</si>
  <si>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</si>
  <si>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</si>
  <si>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</si>
  <si>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</si>
  <si>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</si>
  <si>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</si>
  <si>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</si>
  <si>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</si>
  <si>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</si>
  <si>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</si>
  <si>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</si>
  <si>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</si>
  <si>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</si>
  <si>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</si>
  <si>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</si>
  <si>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</si>
  <si>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</si>
  <si>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</si>
  <si>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</si>
  <si>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</si>
  <si>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</si>
  <si>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</si>
  <si>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</si>
  <si>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</si>
  <si>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</si>
  <si>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</si>
  <si>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</si>
  <si>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</si>
  <si>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</si>
  <si>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</si>
  <si>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</si>
  <si>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</si>
  <si>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</si>
  <si>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</si>
  <si>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</si>
  <si>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</si>
  <si>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</si>
  <si>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</si>
  <si>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</si>
  <si>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</si>
  <si>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</si>
  <si>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</si>
  <si>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</si>
  <si>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</si>
  <si>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</si>
  <si>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</si>
  <si>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</si>
  <si>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</si>
  <si>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</si>
  <si>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</si>
  <si>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</si>
  <si>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</si>
  <si>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</si>
  <si>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</si>
  <si>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</si>
  <si>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</si>
  <si>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</si>
  <si>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</si>
  <si>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</si>
  <si>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</si>
  <si>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</si>
  <si>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</si>
  <si>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</si>
  <si>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</si>
  <si>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</si>
  <si>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</si>
  <si>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</si>
  <si>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</si>
  <si>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</si>
  <si>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</si>
  <si>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</si>
  <si>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</si>
  <si>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</si>
  <si>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</si>
  <si>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</si>
  <si>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</si>
  <si>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</si>
  <si>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</si>
  <si>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</si>
  <si>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</si>
  <si>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</si>
  <si>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</si>
  <si>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</si>
  <si>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</si>
  <si>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</si>
  <si>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</si>
  <si>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</si>
  <si>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</si>
  <si>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</si>
  <si>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</si>
  <si>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</si>
  <si>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</si>
  <si>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</si>
  <si>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</si>
  <si>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</si>
  <si>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</si>
  <si>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</si>
  <si>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</si>
  <si>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</si>
  <si>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</si>
  <si>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</si>
  <si>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</si>
  <si>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</si>
  <si>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</si>
  <si>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</si>
  <si>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</si>
  <si>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</si>
  <si>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</si>
  <si>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</si>
  <si>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</si>
  <si>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</si>
  <si>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</si>
  <si>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</si>
  <si>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</si>
  <si>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</si>
  <si>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</si>
  <si>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</si>
  <si>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</si>
  <si>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</si>
  <si>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</si>
  <si>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</si>
  <si>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</si>
  <si>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</si>
  <si>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</si>
  <si>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</si>
  <si>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</si>
  <si>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</si>
  <si>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</si>
  <si>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</si>
  <si>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</si>
  <si>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</si>
  <si>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</si>
  <si>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</si>
  <si>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</si>
  <si>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</si>
  <si>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</si>
  <si>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</si>
  <si>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</si>
  <si>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</si>
  <si>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</si>
  <si>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</si>
  <si>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</si>
  <si>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</si>
  <si>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</si>
  <si>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</si>
  <si>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</si>
  <si>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</si>
  <si>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</si>
  <si>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</si>
  <si>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</si>
  <si>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</si>
  <si>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</si>
  <si>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</si>
  <si>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</si>
  <si>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</si>
  <si>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</si>
  <si>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</si>
  <si>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</si>
  <si>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</si>
  <si>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</si>
  <si>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</si>
  <si>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</si>
  <si>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</si>
  <si>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</si>
  <si>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</si>
  <si>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</si>
  <si>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</si>
  <si>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</si>
  <si>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</si>
  <si>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</si>
  <si>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</si>
  <si>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</si>
  <si>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</si>
  <si>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</si>
  <si>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</si>
  <si>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</si>
  <si>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</si>
  <si>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</si>
  <si>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</si>
  <si>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</si>
  <si>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</si>
  <si>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</si>
  <si>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</si>
  <si>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</si>
  <si>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</si>
  <si>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</si>
  <si>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</si>
  <si>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</si>
  <si>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</si>
  <si>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</si>
  <si>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</si>
  <si>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</si>
  <si>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</si>
  <si>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</si>
  <si>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</si>
  <si>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</si>
  <si>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</si>
  <si>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</si>
  <si>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</si>
  <si>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</si>
  <si>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</si>
  <si>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</si>
  <si>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</si>
  <si>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</si>
  <si>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</si>
  <si>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</si>
  <si>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</si>
  <si>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</si>
  <si>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</si>
  <si>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</si>
  <si>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</si>
  <si>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</si>
  <si>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</si>
  <si>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</si>
  <si>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</si>
  <si>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</si>
  <si>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</si>
  <si>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</si>
  <si>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</si>
  <si>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</si>
  <si>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</si>
  <si>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</si>
  <si>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</si>
  <si>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</si>
  <si>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</si>
  <si>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</si>
  <si>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</si>
  <si>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</si>
  <si>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</si>
  <si>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</si>
  <si>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</si>
  <si>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</si>
  <si>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</si>
  <si>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</si>
  <si>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</si>
  <si>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</si>
  <si>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</si>
  <si>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</si>
  <si>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</si>
  <si>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</si>
  <si>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</si>
  <si>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</si>
  <si>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</si>
  <si>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</si>
  <si>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</si>
  <si>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</si>
  <si>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</si>
  <si>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</si>
  <si>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</si>
  <si>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</si>
  <si>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</si>
  <si>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</si>
  <si>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</si>
  <si>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</si>
  <si>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</si>
  <si>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</si>
  <si>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</si>
  <si>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</si>
  <si>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</si>
  <si>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</si>
  <si>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</si>
  <si>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</si>
  <si>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</si>
  <si>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</si>
  <si>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</si>
  <si>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</si>
  <si>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</si>
  <si>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</si>
  <si>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</si>
  <si>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</si>
  <si>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</si>
  <si>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</si>
  <si>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</si>
  <si>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</si>
  <si>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</si>
  <si>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</si>
  <si>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</si>
  <si>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</si>
  <si>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</si>
  <si>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</si>
  <si>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</si>
  <si>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</si>
  <si>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</si>
  <si>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</si>
  <si>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</si>
  <si>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</si>
  <si>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</si>
  <si>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</si>
  <si>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</si>
  <si>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</si>
  <si>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</si>
  <si>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</si>
  <si>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</si>
  <si>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</si>
  <si>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</si>
  <si>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</si>
  <si>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</si>
  <si>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</si>
  <si>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</si>
  <si>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</si>
  <si>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</si>
  <si>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</si>
  <si>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</si>
  <si>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</si>
  <si>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</si>
  <si>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</si>
  <si>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</si>
  <si>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</si>
  <si>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</si>
  <si>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</si>
  <si>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</si>
  <si>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</si>
  <si>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</si>
  <si>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</si>
  <si>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</si>
  <si>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</si>
  <si>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</si>
  <si>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</si>
  <si>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</si>
  <si>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</si>
  <si>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</si>
  <si>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</si>
  <si>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</si>
  <si>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</si>
  <si>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</si>
  <si>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</si>
  <si>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</si>
  <si>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</si>
  <si>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</si>
  <si>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</si>
  <si>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</si>
  <si>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</si>
  <si>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</si>
  <si>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</si>
  <si>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</si>
  <si>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</si>
  <si>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</si>
  <si>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</si>
  <si>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</si>
  <si>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</si>
  <si>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</si>
  <si>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</si>
  <si>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</si>
  <si>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</si>
  <si>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</si>
  <si>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</si>
  <si>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</si>
  <si>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</si>
  <si>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</si>
  <si>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</si>
  <si>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</si>
  <si>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</si>
  <si>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</si>
  <si>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</si>
  <si>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</si>
  <si>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</si>
  <si>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</si>
  <si>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</si>
  <si>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</si>
  <si>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</si>
  <si>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</si>
  <si>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</si>
  <si>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</si>
  <si>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</si>
  <si>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</si>
  <si>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</si>
  <si>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</si>
  <si>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</si>
  <si>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</si>
  <si>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</si>
  <si>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</si>
  <si>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</si>
  <si>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</si>
  <si>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</si>
  <si>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</si>
  <si>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</si>
  <si>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</si>
  <si>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</si>
  <si>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</si>
  <si>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</si>
  <si>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</si>
  <si>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</si>
  <si>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</si>
  <si>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</si>
  <si>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</si>
  <si>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</si>
  <si>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</si>
  <si>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</si>
  <si>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</si>
  <si>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</si>
  <si>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</si>
  <si>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</si>
  <si>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</si>
  <si>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</si>
  <si>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</si>
  <si>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</si>
  <si>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</si>
  <si>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</si>
  <si>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</si>
  <si>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</si>
  <si>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</si>
  <si>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</si>
  <si>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</si>
  <si>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</si>
  <si>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</si>
  <si>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</si>
  <si>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</si>
  <si>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</si>
  <si>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</si>
  <si>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</si>
  <si>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</si>
  <si>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</si>
  <si>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</si>
  <si>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</si>
  <si>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</si>
  <si>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</si>
  <si>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</si>
  <si>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</si>
  <si>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</si>
  <si>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</si>
  <si>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</si>
  <si>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</si>
  <si>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</si>
  <si>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</si>
  <si>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</si>
  <si>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</si>
  <si>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</si>
  <si>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</si>
  <si>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</si>
  <si>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</si>
  <si>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</si>
  <si>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</si>
  <si>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</si>
  <si>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</si>
  <si>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</si>
  <si>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</si>
  <si>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</si>
  <si>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</si>
  <si>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</si>
  <si>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</si>
  <si>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</si>
  <si>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</si>
  <si>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</si>
  <si>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</si>
  <si>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</si>
  <si>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</si>
  <si>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</si>
  <si>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</si>
  <si>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</si>
  <si>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</si>
  <si>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</si>
  <si>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</si>
  <si>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</si>
  <si>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</si>
  <si>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</si>
  <si>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</si>
  <si>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</si>
  <si>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</si>
  <si>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</si>
  <si>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</si>
  <si>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</si>
  <si>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</si>
  <si>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</si>
  <si>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</si>
  <si>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</si>
  <si>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</si>
  <si>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</si>
  <si>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</si>
  <si>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</si>
  <si>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</si>
  <si>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</si>
  <si>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</si>
  <si>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</si>
  <si>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</si>
  <si>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</si>
  <si>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</si>
  <si>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</si>
  <si>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</si>
  <si>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</si>
  <si>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</si>
  <si>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</si>
  <si>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</si>
  <si>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</si>
  <si>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</si>
  <si>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</si>
  <si>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</si>
  <si>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</si>
  <si>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</si>
  <si>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</si>
  <si>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</si>
  <si>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</si>
  <si>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</si>
  <si>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</si>
  <si>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</si>
  <si>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</si>
  <si>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</si>
  <si>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</si>
  <si>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</si>
  <si>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</si>
  <si>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</si>
  <si>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</si>
  <si>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</si>
  <si>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</si>
  <si>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</si>
  <si>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</si>
  <si>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</si>
  <si>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</si>
  <si>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</si>
  <si>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</si>
  <si>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</si>
  <si>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</si>
  <si>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</si>
  <si>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</si>
  <si>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</si>
  <si>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</si>
  <si>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</si>
  <si>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</si>
  <si>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</si>
  <si>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</si>
  <si>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</si>
  <si>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</si>
  <si>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</si>
  <si>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</si>
  <si>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</si>
  <si>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</si>
  <si>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</si>
  <si>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</si>
  <si>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</si>
  <si>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</si>
  <si>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</si>
  <si>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</si>
  <si>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</si>
  <si>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</si>
  <si>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</si>
  <si>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</si>
  <si>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</si>
  <si>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</si>
  <si>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</si>
  <si>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</si>
  <si>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</si>
  <si>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</si>
  <si>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</si>
  <si>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</si>
  <si>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</si>
  <si>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</si>
  <si>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</si>
  <si>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</si>
  <si>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</si>
  <si>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</si>
  <si>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</si>
  <si>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</si>
  <si>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</si>
  <si>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</si>
  <si>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</si>
  <si>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</si>
  <si>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</si>
  <si>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</si>
  <si>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</si>
  <si>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</si>
  <si>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</si>
  <si>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</si>
  <si>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</si>
  <si>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</si>
  <si>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</si>
  <si>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</si>
  <si>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</si>
  <si>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</si>
  <si>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</si>
  <si>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</si>
  <si>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</si>
  <si>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</si>
  <si>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</si>
  <si>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</si>
  <si>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</si>
  <si>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</si>
  <si>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</si>
  <si>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</si>
  <si>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</si>
  <si>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</si>
  <si>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</si>
  <si>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</si>
  <si>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</si>
  <si>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</si>
  <si>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</si>
  <si>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</si>
  <si>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</si>
  <si>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</si>
  <si>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</si>
  <si>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</si>
  <si>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</si>
  <si>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</si>
  <si>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</si>
  <si>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</si>
  <si>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</si>
  <si>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</si>
  <si>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</si>
  <si>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</si>
  <si>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</si>
  <si>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</si>
  <si>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</si>
  <si>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</si>
  <si>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</si>
  <si>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</si>
  <si>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</si>
  <si>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</si>
  <si>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</si>
  <si>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</si>
  <si>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</si>
  <si>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</si>
  <si>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</si>
  <si>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</si>
  <si>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</si>
  <si>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</si>
  <si>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</si>
  <si>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</si>
  <si>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</si>
  <si>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</si>
  <si>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</si>
  <si>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</si>
  <si>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</si>
  <si>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</si>
  <si>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</si>
  <si>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</si>
  <si>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</si>
  <si>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</si>
  <si>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</si>
  <si>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</si>
  <si>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</si>
  <si>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</si>
  <si>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</si>
  <si>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</si>
  <si>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</si>
  <si>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</si>
  <si>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</si>
  <si>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</si>
  <si>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</si>
  <si>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</si>
  <si>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</si>
  <si>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</si>
  <si>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</si>
  <si>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</si>
  <si>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</si>
  <si>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</si>
  <si>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</si>
  <si>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</si>
  <si>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</si>
  <si>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</si>
  <si>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</si>
  <si>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</si>
  <si>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</si>
  <si>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</si>
  <si>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</si>
  <si>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</si>
  <si>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</si>
  <si>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</si>
  <si>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</si>
  <si>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</si>
  <si>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</si>
  <si>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</si>
  <si>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</si>
  <si>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</si>
  <si>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</si>
  <si>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</si>
  <si>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</si>
  <si>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</si>
  <si>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</si>
  <si>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</si>
  <si>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</si>
  <si>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</si>
  <si>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</si>
  <si>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</si>
  <si>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</si>
  <si>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</si>
  <si>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</si>
  <si>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</si>
  <si>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</si>
  <si>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</si>
  <si>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</si>
  <si>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</si>
  <si>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</si>
  <si>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</si>
  <si>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</si>
  <si>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</si>
  <si>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</si>
  <si>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</si>
  <si>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</si>
  <si>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</si>
  <si>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</si>
  <si>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</si>
  <si>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</si>
  <si>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</si>
  <si>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</si>
  <si>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</si>
  <si>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</si>
  <si>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</si>
  <si>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</si>
  <si>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</si>
  <si>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</si>
  <si>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</si>
  <si>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</si>
  <si>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</si>
  <si>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</si>
  <si>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</si>
  <si>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</si>
  <si>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</si>
  <si>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</si>
  <si>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</si>
  <si>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</si>
  <si>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</si>
  <si>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</si>
  <si>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</si>
  <si>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</si>
  <si>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</si>
  <si>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</si>
  <si>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</si>
  <si>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</si>
  <si>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</si>
  <si>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</si>
  <si>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</si>
  <si>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</si>
  <si>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</si>
  <si>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</si>
  <si>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</si>
  <si>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</si>
  <si>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</si>
  <si>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</si>
  <si>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</si>
  <si>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</si>
  <si>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</si>
  <si>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</si>
  <si>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</si>
  <si>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</si>
  <si>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</si>
  <si>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</si>
  <si>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</si>
  <si>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</si>
  <si>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</si>
  <si>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</si>
  <si>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</si>
  <si>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</si>
  <si>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</si>
  <si>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</si>
  <si>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</si>
  <si>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</si>
  <si>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</si>
  <si>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</si>
  <si>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</si>
  <si>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</si>
  <si>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</si>
  <si>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</si>
  <si>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</si>
  <si>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</si>
  <si>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</si>
  <si>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</si>
  <si>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</si>
  <si>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</si>
  <si>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</si>
  <si>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</si>
  <si>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</si>
  <si>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</si>
  <si>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</si>
  <si>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</si>
  <si>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</si>
  <si>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</si>
  <si>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</si>
  <si>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</si>
  <si>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</si>
  <si>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</si>
  <si>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</si>
  <si>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</si>
  <si>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</si>
  <si>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</si>
  <si>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</si>
  <si>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</si>
  <si>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</si>
  <si>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</si>
  <si>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</si>
  <si>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</si>
  <si>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</si>
  <si>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</si>
  <si>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</si>
  <si>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</si>
  <si>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</si>
  <si>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</si>
  <si>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</si>
  <si>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</si>
  <si>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</si>
  <si>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</si>
  <si>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</si>
  <si>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</si>
  <si>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</si>
  <si>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</si>
  <si>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</si>
  <si>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</si>
  <si>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</si>
  <si>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</si>
  <si>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</si>
  <si>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</si>
  <si>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</si>
  <si>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</si>
  <si>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</si>
  <si>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</si>
  <si>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</si>
  <si>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</si>
  <si>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</si>
  <si>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</si>
  <si>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</si>
  <si>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</si>
  <si>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</si>
  <si>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</si>
  <si>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</si>
  <si>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</si>
  <si>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</si>
  <si>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</si>
  <si>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</si>
  <si>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</si>
  <si>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</si>
  <si>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</si>
  <si>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</si>
  <si>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</si>
  <si>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</si>
  <si>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</si>
  <si>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</si>
  <si>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</si>
  <si>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</si>
  <si>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</si>
  <si>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</si>
  <si>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</si>
  <si>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</si>
  <si>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</si>
  <si>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</si>
  <si>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</si>
  <si>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</si>
  <si>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</si>
  <si>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</si>
  <si>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</si>
  <si>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</si>
  <si>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</si>
  <si>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</si>
  <si>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</si>
  <si>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</si>
  <si>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</si>
  <si>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</si>
  <si>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</si>
  <si>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</si>
  <si>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</si>
  <si>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</si>
  <si>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</si>
  <si>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</si>
  <si>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</si>
  <si>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</si>
  <si>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</si>
  <si>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</si>
  <si>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</si>
  <si>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</si>
  <si>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</si>
  <si>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</si>
  <si>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</si>
  <si>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</si>
  <si>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</si>
  <si>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</si>
  <si>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</si>
  <si>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</si>
  <si>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</si>
  <si>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</si>
  <si>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</si>
  <si>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</si>
  <si>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</si>
  <si>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</si>
  <si>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</si>
  <si>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</si>
  <si>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</si>
  <si>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</si>
  <si>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</si>
  <si>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</si>
  <si>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</si>
  <si>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</si>
  <si>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</si>
  <si>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</si>
  <si>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</si>
  <si>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</si>
  <si>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</si>
  <si>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</si>
  <si>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</si>
  <si>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</si>
  <si>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</si>
  <si>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</si>
  <si>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</si>
  <si>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</si>
  <si>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</si>
  <si>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</si>
  <si>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</si>
  <si>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</si>
  <si>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</si>
  <si>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</si>
  <si>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</si>
  <si>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</si>
  <si>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</si>
  <si>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</si>
  <si>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</si>
  <si>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</si>
  <si>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</si>
  <si>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</si>
  <si>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</si>
  <si>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</si>
  <si>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</si>
  <si>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</si>
  <si>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</si>
  <si>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</si>
  <si>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</si>
  <si>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</si>
  <si>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</si>
  <si>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</si>
  <si>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</si>
  <si>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</si>
  <si>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</si>
  <si>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</si>
  <si>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</si>
  <si>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</si>
  <si>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</si>
  <si>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</si>
  <si>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</si>
  <si>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</si>
  <si>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</si>
  <si>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</si>
  <si>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</si>
  <si>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</si>
  <si>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</si>
  <si>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</si>
  <si>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</si>
  <si>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</si>
  <si>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</si>
  <si>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</si>
  <si>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</si>
  <si>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</si>
  <si>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</si>
  <si>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</si>
  <si>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</si>
  <si>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</si>
  <si>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</si>
  <si>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</si>
  <si>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</si>
  <si>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</si>
  <si>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</si>
  <si>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</si>
  <si>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</si>
  <si>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</si>
  <si>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</si>
  <si>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</si>
  <si>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</si>
  <si>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</si>
  <si>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</si>
  <si>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</si>
  <si>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</si>
  <si>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</si>
  <si>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</si>
  <si>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</si>
  <si>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</si>
  <si>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</si>
  <si>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</si>
  <si>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</si>
  <si>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</si>
  <si>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</si>
  <si>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</si>
  <si>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</si>
  <si>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</si>
  <si>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</si>
  <si>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</si>
  <si>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</si>
  <si>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</si>
  <si>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</si>
  <si>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</si>
  <si>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</si>
  <si>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</si>
  <si>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</si>
  <si>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</si>
  <si>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</si>
  <si>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</si>
  <si>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</si>
  <si>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</si>
  <si>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</si>
  <si>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</si>
  <si>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</si>
  <si>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</si>
  <si>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</si>
  <si>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</si>
  <si>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</si>
  <si>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</si>
  <si>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</si>
  <si>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</si>
  <si>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</si>
  <si>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</si>
  <si>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</si>
  <si>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</si>
  <si>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</si>
  <si>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</si>
  <si>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</si>
  <si>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</si>
  <si>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</si>
  <si>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</si>
  <si>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</si>
  <si>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</si>
  <si>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</si>
  <si>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</si>
  <si>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</si>
  <si>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</si>
  <si>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</si>
  <si>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</si>
  <si>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</si>
  <si>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</si>
  <si>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</si>
  <si>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</si>
  <si>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</si>
  <si>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</si>
  <si>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</si>
  <si>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</si>
  <si>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</si>
  <si>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</si>
  <si>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</si>
  <si>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</si>
  <si>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</si>
  <si>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</si>
  <si>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</si>
  <si>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</si>
  <si>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</si>
  <si>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</si>
  <si>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</si>
  <si>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</si>
  <si>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</si>
  <si>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</si>
  <si>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</si>
  <si>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</si>
  <si>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</si>
  <si>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</si>
  <si>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</si>
  <si>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</si>
  <si>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</si>
  <si>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</si>
  <si>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</si>
  <si>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</si>
  <si>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</si>
  <si>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</si>
  <si>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</si>
  <si>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</si>
  <si>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</si>
  <si>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</si>
  <si>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</si>
  <si>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</si>
  <si>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</si>
  <si>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</si>
  <si>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</si>
  <si>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</si>
  <si>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</si>
  <si>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</si>
  <si>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</si>
  <si>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</si>
  <si>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</si>
  <si>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</si>
  <si>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</si>
  <si>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</si>
  <si>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</si>
  <si>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</si>
  <si>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</si>
  <si>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</si>
  <si>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</si>
  <si>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</si>
  <si>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</si>
  <si>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</si>
  <si>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</si>
  <si>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</si>
  <si>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</si>
  <si>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</si>
  <si>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</si>
  <si>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</si>
  <si>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</si>
  <si>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</si>
  <si>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</si>
  <si>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</si>
  <si>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</si>
  <si>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</si>
  <si>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</si>
  <si>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</si>
  <si>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</si>
  <si>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</si>
  <si>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</si>
  <si>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</si>
  <si>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</si>
  <si>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</si>
  <si>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</si>
  <si>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</si>
  <si>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</si>
  <si>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</si>
  <si>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</si>
  <si>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</si>
  <si>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</si>
  <si>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</si>
  <si>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</si>
  <si>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</si>
  <si>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</si>
  <si>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</si>
  <si>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</si>
  <si>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</si>
  <si>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</si>
  <si>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</si>
  <si>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</si>
  <si>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</si>
  <si>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</si>
  <si>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</si>
  <si>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</si>
  <si>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</si>
  <si>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</si>
  <si>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</si>
  <si>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</si>
  <si>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</si>
  <si>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</si>
  <si>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</si>
  <si>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</si>
  <si>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</si>
  <si>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</si>
  <si>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</si>
  <si>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</si>
  <si>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</si>
  <si>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</si>
  <si>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</si>
  <si>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</si>
  <si>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</si>
  <si>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</si>
  <si>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</si>
  <si>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</si>
  <si>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</si>
  <si>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</si>
  <si>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</si>
  <si>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</si>
  <si>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</si>
  <si>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</si>
  <si>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</si>
  <si>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</si>
  <si>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</si>
  <si>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</si>
  <si>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</si>
  <si>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</si>
  <si>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</si>
  <si>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</si>
  <si>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</si>
  <si>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</si>
  <si>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</si>
  <si>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</si>
  <si>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</si>
  <si>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</si>
  <si>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</si>
  <si>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</si>
  <si>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</si>
  <si>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</si>
  <si>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</si>
  <si>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</si>
  <si>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</si>
  <si>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</si>
  <si>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</si>
  <si>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</si>
  <si>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</si>
  <si>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</si>
  <si>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</si>
  <si>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</si>
  <si>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</si>
  <si>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</si>
  <si>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</si>
  <si>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</si>
  <si>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</si>
  <si>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</si>
  <si>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</si>
  <si>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</si>
  <si>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</si>
  <si>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</si>
  <si>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</si>
  <si>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</si>
  <si>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</si>
  <si>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</si>
  <si>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</si>
  <si>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</si>
  <si>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</si>
  <si>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</si>
  <si>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</si>
  <si>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</si>
  <si>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</si>
  <si>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</si>
  <si>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</si>
  <si>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</si>
  <si>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</si>
  <si>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</si>
  <si>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</si>
  <si>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</si>
  <si>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</si>
  <si>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</si>
  <si>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</si>
  <si>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</si>
  <si>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</si>
  <si>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</si>
  <si>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</si>
  <si>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</si>
  <si>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</si>
  <si>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</si>
  <si>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</si>
  <si>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</si>
  <si>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</si>
  <si>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</si>
  <si>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</si>
  <si>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</si>
  <si>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</si>
  <si>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</si>
  <si>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</si>
  <si>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</si>
  <si>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</si>
  <si>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</si>
  <si>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</si>
  <si>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</si>
  <si>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</si>
  <si>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</si>
  <si>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</si>
  <si>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</si>
  <si>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</si>
  <si>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</si>
  <si>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</si>
  <si>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</si>
  <si>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</si>
  <si>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</si>
  <si>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</si>
  <si>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</si>
  <si>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</si>
  <si>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</si>
  <si>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</si>
  <si>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</si>
  <si>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</si>
  <si>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</si>
  <si>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</si>
  <si>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</si>
  <si>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</si>
  <si>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</si>
  <si>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</si>
  <si>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</si>
  <si>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</si>
  <si>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</si>
  <si>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</si>
  <si>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</si>
  <si>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</si>
  <si>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</si>
  <si>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</si>
  <si>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</si>
  <si>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</si>
  <si>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</si>
  <si>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</si>
  <si>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</si>
  <si>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</si>
  <si>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</si>
  <si>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</si>
  <si>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</si>
  <si>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</si>
  <si>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</si>
  <si>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</si>
  <si>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</si>
  <si>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</si>
  <si>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</si>
  <si>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</si>
  <si>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</si>
  <si>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</si>
  <si>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</si>
  <si>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</si>
  <si>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</si>
  <si>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</si>
  <si>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</si>
  <si>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</si>
  <si>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</si>
  <si>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</si>
  <si>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</si>
  <si>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</si>
  <si>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</si>
  <si>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</si>
  <si>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</si>
  <si>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</si>
  <si>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</si>
  <si>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</si>
  <si>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</si>
  <si>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</si>
  <si>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</si>
  <si>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</si>
  <si>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</si>
  <si>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</si>
  <si>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</si>
  <si>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</si>
  <si>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</si>
  <si>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</si>
  <si>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</si>
  <si>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</si>
  <si>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</si>
  <si>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</si>
  <si>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</si>
  <si>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</si>
  <si>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</si>
  <si>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</si>
  <si>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</si>
  <si>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</si>
  <si>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</si>
  <si>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</si>
  <si>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</si>
  <si>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</si>
  <si>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</si>
  <si>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</si>
  <si>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</si>
  <si>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</si>
  <si>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</si>
  <si>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</si>
  <si>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</si>
  <si>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</si>
  <si>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</si>
  <si>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</si>
  <si>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</si>
  <si>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</si>
  <si>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</si>
  <si>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</si>
  <si>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</si>
  <si>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</si>
  <si>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</si>
  <si>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</si>
  <si>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</si>
  <si>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</si>
  <si>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</si>
  <si>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</si>
  <si>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</si>
  <si>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</si>
  <si>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</si>
  <si>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</si>
  <si>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</si>
  <si>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</si>
  <si>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</si>
  <si>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</si>
  <si>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</si>
  <si>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</si>
  <si>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</si>
  <si>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</si>
  <si>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</si>
  <si>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</si>
  <si>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</si>
  <si>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</si>
  <si>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</si>
  <si>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</si>
  <si>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</si>
  <si>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</si>
  <si>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</si>
  <si>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</si>
  <si>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</si>
  <si>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</si>
  <si>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</si>
  <si>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</si>
  <si>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</si>
  <si>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</si>
  <si>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</si>
  <si>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</si>
  <si>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</si>
  <si>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</si>
  <si>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</si>
  <si>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</si>
  <si>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</si>
  <si>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</si>
  <si>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</si>
  <si>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</si>
  <si>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</si>
  <si>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</si>
  <si>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</si>
  <si>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</si>
  <si>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</si>
  <si>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</si>
  <si>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</si>
  <si>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</si>
  <si>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</si>
  <si>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</si>
  <si>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</si>
  <si>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</si>
  <si>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</si>
  <si>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</si>
  <si>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</si>
  <si>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</si>
  <si>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</si>
  <si>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</si>
  <si>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</si>
  <si>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</si>
  <si>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</si>
  <si>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</si>
  <si>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</si>
  <si>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</si>
  <si>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</si>
  <si>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</si>
  <si>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</si>
  <si>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</si>
  <si>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</si>
  <si>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</si>
  <si>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</si>
  <si>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</si>
  <si>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</si>
  <si>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</si>
  <si>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</si>
  <si>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</si>
  <si>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</si>
  <si>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</si>
  <si>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</si>
  <si>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</si>
  <si>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</si>
  <si>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</si>
  <si>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</si>
  <si>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</si>
  <si>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</si>
  <si>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</si>
  <si>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</si>
  <si>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</si>
  <si>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</si>
  <si>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</si>
  <si>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</si>
  <si>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</si>
  <si>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</si>
  <si>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</si>
  <si>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</si>
  <si>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</si>
  <si>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</si>
  <si>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</si>
  <si>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</si>
  <si>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</si>
  <si>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</si>
  <si>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</si>
  <si>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</si>
  <si>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</si>
  <si>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</si>
  <si>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</si>
  <si>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</si>
  <si>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</si>
  <si>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</si>
  <si>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</si>
  <si>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</si>
  <si>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</si>
  <si>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</si>
  <si>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</si>
  <si>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</si>
  <si>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</si>
  <si>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</si>
  <si>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</si>
  <si>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</si>
  <si>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</si>
  <si>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</si>
  <si>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</si>
  <si>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</si>
  <si>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</si>
  <si>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</si>
  <si>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</si>
  <si>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</si>
  <si>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</si>
  <si>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</si>
  <si>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</si>
  <si>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</si>
  <si>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</si>
  <si>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</si>
  <si>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</si>
  <si>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</si>
  <si>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</si>
  <si>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</si>
  <si>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</si>
  <si>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</si>
  <si>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</si>
  <si>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</si>
  <si>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</si>
  <si>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</si>
  <si>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</si>
  <si>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</si>
  <si>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</si>
  <si>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</si>
  <si>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</si>
  <si>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</si>
  <si>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</si>
  <si>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</si>
  <si>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</si>
  <si>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</si>
  <si>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</si>
  <si>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</si>
  <si>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</si>
  <si>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</si>
  <si>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</si>
  <si>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</si>
  <si>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</si>
  <si>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</si>
  <si>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</si>
  <si>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</si>
  <si>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</si>
  <si>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</si>
  <si>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</si>
  <si>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</si>
  <si>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</si>
  <si>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</si>
  <si>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</si>
  <si>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</si>
  <si>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</si>
  <si>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</si>
  <si>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</si>
  <si>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</si>
  <si>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</si>
  <si>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</si>
  <si>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</si>
  <si>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</si>
  <si>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</si>
  <si>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</si>
  <si>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</si>
  <si>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</si>
  <si>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</si>
  <si>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</si>
  <si>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</si>
  <si>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</si>
  <si>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</si>
  <si>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</si>
  <si>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</si>
  <si>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</si>
  <si>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</si>
  <si>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</si>
  <si>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</si>
  <si>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</si>
  <si>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</si>
  <si>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</si>
  <si>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</si>
  <si>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</si>
  <si>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</si>
  <si>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</si>
  <si>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</si>
  <si>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</si>
  <si>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</si>
  <si>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</si>
  <si>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</si>
  <si>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</si>
  <si>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</si>
  <si>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</si>
  <si>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</si>
  <si>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</si>
  <si>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</si>
  <si>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</si>
  <si>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</si>
  <si>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</si>
  <si>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</si>
  <si>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</si>
  <si>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</si>
  <si>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</si>
  <si>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</si>
  <si>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</si>
  <si>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</si>
  <si>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</si>
  <si>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</si>
  <si>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</si>
  <si>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</si>
  <si>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</si>
  <si>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</si>
  <si>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</si>
  <si>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</si>
  <si>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</si>
  <si>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</si>
  <si>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</si>
  <si>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</si>
  <si>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</si>
  <si>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</si>
  <si>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</si>
  <si>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</si>
  <si>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</si>
  <si>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</si>
  <si>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</si>
  <si>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</si>
  <si>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</si>
  <si>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</si>
  <si>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</si>
  <si>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</si>
  <si>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</si>
  <si>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</si>
  <si>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</si>
  <si>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</si>
  <si>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</si>
  <si>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</si>
  <si>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</si>
  <si>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</si>
  <si>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</si>
  <si>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</si>
  <si>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</si>
  <si>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</si>
  <si>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</si>
  <si>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</si>
  <si>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</si>
  <si>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</si>
  <si>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</si>
  <si>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</si>
  <si>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</si>
  <si>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</si>
  <si>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</si>
  <si>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</si>
  <si>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</si>
  <si>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</si>
  <si>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</si>
  <si>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</si>
  <si>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</si>
  <si>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</si>
  <si>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</si>
  <si>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</si>
  <si>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</si>
  <si>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</si>
  <si>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</si>
  <si>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</si>
  <si>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</si>
  <si>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</si>
  <si>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</si>
  <si>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</si>
  <si>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</si>
  <si>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</si>
  <si>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</si>
  <si>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</si>
  <si>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</si>
  <si>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</si>
  <si>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</si>
  <si>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</si>
  <si>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</si>
  <si>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</si>
  <si>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</si>
  <si>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</si>
  <si>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</si>
  <si>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</si>
  <si>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</si>
  <si>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</si>
  <si>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</si>
  <si>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</si>
  <si>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</si>
  <si>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</si>
  <si>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</si>
  <si>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</si>
  <si>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</si>
  <si>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</si>
  <si>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</si>
  <si>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</si>
  <si>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</si>
  <si>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</si>
  <si>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</si>
  <si>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</si>
  <si>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</si>
  <si>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</si>
  <si>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</si>
  <si>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</si>
  <si>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</si>
  <si>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</si>
  <si>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</si>
  <si>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</si>
  <si>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</si>
  <si>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</si>
  <si>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</si>
  <si>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</si>
  <si>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</si>
  <si>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</si>
  <si>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</si>
  <si>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</si>
  <si>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</si>
  <si>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</si>
  <si>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</si>
  <si>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</si>
  <si>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</si>
  <si>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</si>
  <si>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</si>
  <si>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</si>
  <si>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</si>
  <si>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</si>
  <si>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</si>
  <si>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</si>
  <si>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</si>
  <si>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</si>
  <si>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</si>
  <si>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</si>
  <si>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</si>
  <si>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</si>
  <si>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</si>
  <si>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</si>
  <si>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</si>
  <si>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</si>
  <si>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</si>
  <si>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</si>
  <si>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</si>
  <si>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</si>
  <si>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</si>
  <si>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</si>
  <si>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</si>
  <si>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</si>
  <si>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</si>
  <si>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</si>
  <si>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</si>
  <si>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</si>
  <si>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</si>
  <si>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</si>
  <si>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</si>
  <si>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</si>
  <si>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</si>
  <si>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</si>
  <si>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</si>
  <si>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</si>
  <si>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</si>
  <si>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</si>
  <si>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</si>
  <si>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</si>
  <si>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</si>
  <si>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</si>
  <si>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</si>
  <si>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</si>
  <si>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</si>
  <si>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</si>
  <si>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</si>
  <si>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</si>
  <si>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</si>
  <si>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</si>
  <si>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</si>
  <si>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</si>
  <si>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</si>
  <si>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</si>
  <si>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</si>
  <si>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</si>
  <si>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</si>
  <si>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</si>
  <si>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</si>
  <si>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</si>
  <si>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</si>
  <si>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</si>
  <si>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</si>
  <si>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</si>
  <si>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</si>
  <si>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</si>
  <si>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</si>
  <si>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</si>
  <si>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</si>
  <si>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</si>
  <si>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</si>
  <si>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</si>
  <si>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</si>
  <si>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</si>
  <si>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</si>
  <si>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</si>
  <si>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</si>
  <si>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</si>
  <si>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</si>
  <si>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</si>
  <si>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</si>
  <si>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</si>
  <si>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</si>
  <si>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</si>
  <si>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</si>
  <si>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</si>
  <si>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</si>
  <si>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</si>
  <si>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</si>
  <si>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</si>
  <si>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</si>
  <si>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</si>
  <si>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</si>
  <si>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</si>
  <si>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</si>
  <si>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</si>
  <si>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</si>
  <si>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</si>
  <si>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</si>
  <si>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</si>
  <si>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</si>
  <si>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</si>
  <si>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</si>
  <si>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</si>
  <si>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</si>
  <si>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</si>
  <si>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</si>
  <si>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</si>
  <si>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</si>
  <si>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</si>
  <si>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</si>
  <si>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</si>
  <si>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</si>
  <si>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</si>
  <si>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</si>
  <si>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</si>
  <si>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</si>
  <si>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</si>
  <si>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</si>
  <si>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</si>
  <si>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</si>
  <si>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</si>
  <si>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</si>
  <si>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</si>
  <si>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</si>
  <si>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</si>
  <si>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</si>
  <si>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</si>
  <si>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</si>
  <si>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</si>
  <si>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</si>
  <si>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</si>
  <si>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</si>
  <si>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</si>
  <si>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</si>
  <si>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</si>
  <si>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</si>
  <si>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</si>
  <si>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</si>
  <si>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</si>
  <si>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</si>
  <si>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</si>
  <si>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</si>
  <si>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</si>
  <si>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</si>
  <si>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</si>
  <si>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</si>
  <si>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</si>
  <si>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</si>
  <si>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</si>
  <si>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</si>
  <si>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</si>
  <si>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</si>
  <si>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</si>
  <si>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</si>
  <si>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</si>
  <si>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</si>
  <si>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</si>
  <si>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</si>
  <si>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</si>
  <si>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</si>
  <si>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</si>
  <si>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</si>
  <si>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</si>
  <si>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</si>
  <si>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</si>
  <si>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</si>
  <si>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</si>
  <si>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</si>
  <si>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</si>
  <si>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</si>
  <si>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</si>
  <si>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</si>
  <si>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</si>
  <si>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</si>
  <si>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</si>
  <si>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</si>
  <si>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</si>
  <si>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</si>
  <si>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</si>
  <si>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</si>
  <si>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</si>
  <si>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</si>
  <si>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</si>
  <si>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</si>
  <si>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</si>
  <si>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</si>
  <si>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</si>
  <si>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</si>
  <si>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</si>
  <si>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</si>
  <si>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</si>
  <si>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</si>
  <si>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</si>
  <si>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</si>
  <si>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</si>
  <si>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</si>
  <si>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</si>
  <si>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</si>
  <si>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</si>
  <si>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</si>
  <si>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</si>
  <si>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</si>
  <si>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</si>
  <si>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</si>
  <si>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</si>
  <si>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</si>
  <si>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</si>
  <si>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</si>
  <si>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</si>
  <si>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</si>
  <si>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</si>
  <si>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</si>
  <si>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</si>
  <si>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</si>
  <si>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</si>
  <si>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</si>
  <si>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</si>
  <si>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</si>
  <si>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</si>
  <si>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</si>
  <si>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</si>
  <si>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</si>
  <si>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</si>
  <si>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</si>
  <si>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</si>
  <si>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</si>
  <si>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</si>
  <si>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</si>
  <si>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</si>
  <si>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</si>
  <si>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</si>
  <si>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</si>
  <si>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</si>
  <si>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</si>
  <si>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</si>
  <si>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</si>
  <si>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</si>
  <si>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</si>
  <si>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</si>
  <si>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</si>
  <si>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</si>
  <si>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</si>
  <si>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</si>
  <si>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</si>
  <si>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</si>
  <si>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</si>
  <si>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</si>
  <si>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</si>
  <si>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</si>
  <si>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</si>
  <si>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</si>
  <si>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</si>
  <si>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</si>
  <si>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</si>
  <si>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</si>
  <si>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</si>
  <si>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</si>
  <si>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</si>
  <si>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</si>
  <si>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</si>
  <si>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</si>
  <si>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</si>
  <si>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</si>
  <si>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</si>
  <si>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</si>
  <si>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</si>
  <si>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</si>
  <si>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</si>
  <si>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</si>
  <si>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</si>
  <si>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</si>
  <si>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</si>
  <si>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</si>
  <si>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</si>
  <si>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</si>
  <si>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</si>
  <si>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</si>
  <si>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</si>
  <si>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</si>
  <si>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</si>
  <si>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</si>
  <si>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</si>
  <si>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</si>
  <si>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</si>
  <si>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</si>
  <si>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</si>
  <si>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</si>
  <si>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</si>
  <si>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</si>
  <si>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</si>
  <si>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</si>
  <si>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</si>
  <si>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</si>
  <si>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</si>
  <si>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</si>
  <si>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</si>
  <si>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</si>
  <si>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</si>
  <si>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</si>
  <si>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</si>
  <si>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</si>
  <si>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</si>
  <si>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</si>
  <si>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</si>
  <si>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</si>
  <si>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</si>
  <si>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</si>
  <si>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</si>
  <si>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</si>
  <si>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</si>
  <si>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</si>
  <si>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</si>
  <si>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</si>
  <si>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</si>
  <si>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</si>
  <si>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</si>
  <si>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</si>
  <si>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</si>
  <si>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</si>
  <si>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</si>
  <si>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</si>
  <si>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</si>
  <si>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</si>
  <si>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</si>
  <si>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</si>
  <si>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</si>
  <si>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</si>
  <si>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</si>
  <si>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</si>
  <si>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</si>
  <si>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</si>
  <si>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</si>
  <si>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</si>
  <si>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</si>
  <si>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</si>
  <si>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</si>
  <si>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</si>
  <si>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</si>
  <si>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</si>
  <si>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</si>
  <si>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</si>
  <si>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</si>
  <si>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</si>
  <si>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</si>
  <si>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</si>
  <si>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</si>
  <si>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</si>
  <si>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</si>
  <si>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</si>
  <si>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</si>
  <si>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</si>
  <si>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</si>
  <si>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</si>
  <si>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</si>
  <si>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</si>
  <si>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</si>
  <si>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</si>
  <si>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</si>
  <si>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</si>
  <si>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</si>
  <si>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</si>
  <si>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</si>
  <si>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</si>
  <si>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</si>
  <si>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</si>
  <si>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</si>
  <si>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</si>
  <si>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</si>
  <si>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</si>
  <si>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</si>
  <si>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</si>
  <si>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</si>
  <si>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</si>
  <si>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</si>
  <si>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</si>
  <si>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</si>
  <si>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</si>
  <si>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</si>
  <si>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</si>
  <si>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</si>
  <si>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</si>
  <si>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</si>
  <si>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</si>
  <si>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</si>
  <si>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</si>
  <si>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</si>
  <si>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</si>
  <si>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</si>
  <si>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</si>
  <si>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</si>
  <si>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</si>
  <si>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</si>
  <si>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</si>
  <si>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</si>
  <si>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</si>
  <si>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</si>
  <si>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</si>
  <si>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</si>
  <si>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</si>
  <si>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</si>
  <si>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</si>
  <si>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</si>
  <si>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</si>
  <si>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</si>
  <si>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</si>
  <si>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</si>
  <si>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</si>
  <si>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</si>
  <si>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</si>
  <si>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</si>
  <si>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</si>
  <si>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</si>
  <si>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</si>
  <si>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</si>
  <si>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</si>
  <si>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</si>
  <si>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</si>
  <si>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</si>
  <si>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</si>
  <si>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</si>
  <si>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</si>
  <si>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</si>
  <si>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</si>
  <si>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</si>
  <si>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</si>
  <si>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</si>
  <si>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</si>
  <si>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</si>
  <si>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</si>
  <si>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</si>
  <si>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</si>
  <si>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</si>
  <si>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</si>
  <si>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</si>
  <si>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</si>
  <si>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</si>
  <si>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</si>
  <si>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</si>
  <si>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</si>
  <si>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</si>
  <si>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</si>
  <si>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</si>
  <si>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</si>
  <si>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</si>
  <si>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</si>
  <si>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</si>
  <si>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</si>
  <si>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</si>
  <si>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</si>
  <si>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</si>
  <si>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</si>
  <si>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</si>
  <si>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</si>
  <si>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</si>
  <si>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</si>
  <si>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</si>
  <si>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</si>
  <si>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</si>
  <si>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</si>
  <si>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</si>
  <si>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</si>
  <si>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</si>
  <si>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</si>
  <si>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</si>
  <si>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</si>
  <si>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</si>
  <si>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</si>
  <si>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</si>
  <si>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</si>
  <si>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</si>
  <si>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</si>
  <si>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</si>
  <si>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</si>
  <si>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</si>
  <si>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</si>
  <si>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</si>
  <si>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</si>
  <si>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</si>
  <si>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</si>
  <si>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</si>
  <si>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</si>
  <si>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</si>
  <si>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</si>
  <si>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</si>
  <si>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</si>
  <si>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</si>
  <si>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</si>
  <si>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</si>
  <si>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</si>
  <si>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</si>
  <si>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</si>
  <si>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</si>
  <si>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</si>
  <si>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</si>
  <si>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</si>
  <si>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</si>
  <si>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</si>
  <si>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</si>
  <si>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</si>
  <si>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</si>
  <si>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</si>
  <si>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</si>
  <si>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</si>
  <si>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</si>
  <si>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</si>
  <si>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</si>
  <si>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</si>
  <si>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</si>
  <si>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</si>
  <si>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</si>
  <si>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</si>
  <si>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</si>
  <si>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</si>
  <si>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</si>
  <si>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</si>
  <si>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</si>
  <si>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</si>
  <si>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</si>
  <si>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</si>
  <si>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</si>
  <si>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</si>
  <si>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</si>
  <si>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</si>
  <si>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</si>
  <si>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</si>
  <si>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</si>
  <si>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</si>
  <si>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</si>
  <si>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</si>
  <si>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</si>
  <si>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</si>
  <si>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</si>
  <si>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</si>
  <si>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</si>
  <si>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</si>
  <si>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</si>
  <si>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</si>
  <si>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</si>
  <si>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</si>
  <si>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</si>
  <si>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</si>
  <si>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</si>
  <si>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</si>
  <si>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</si>
  <si>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</si>
  <si>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</si>
  <si>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</si>
  <si>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</si>
  <si>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</si>
  <si>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</si>
  <si>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</si>
  <si>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</si>
  <si>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</si>
  <si>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</si>
  <si>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</si>
  <si>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</si>
  <si>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</si>
  <si>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</si>
  <si>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</si>
  <si>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</si>
  <si>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</si>
  <si>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</si>
  <si>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</si>
  <si>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</si>
  <si>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</si>
  <si>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</si>
  <si>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</si>
  <si>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</si>
  <si>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</si>
  <si>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</si>
  <si>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</si>
  <si>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</si>
  <si>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</si>
  <si>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</si>
  <si>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</si>
  <si>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</si>
  <si>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</si>
  <si>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</si>
  <si>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</si>
  <si>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</si>
  <si>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</si>
  <si>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</si>
  <si>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</si>
  <si>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</si>
  <si>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</si>
  <si>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</si>
  <si>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</si>
  <si>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</si>
  <si>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</si>
  <si>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</si>
  <si>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</si>
  <si>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</si>
  <si>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</si>
  <si>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</si>
  <si>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</si>
  <si>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</si>
  <si>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</si>
  <si>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</si>
  <si>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</si>
  <si>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</si>
  <si>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</si>
  <si>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</si>
  <si>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</si>
  <si>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</si>
  <si>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</si>
  <si>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</si>
  <si>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</si>
  <si>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</si>
  <si>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</si>
  <si>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</si>
  <si>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</si>
  <si>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</si>
  <si>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</si>
  <si>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</si>
  <si>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</si>
  <si>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</si>
  <si>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</si>
  <si>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</si>
  <si>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</si>
  <si>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</si>
  <si>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</si>
  <si>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</si>
  <si>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</si>
  <si>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</si>
  <si>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</si>
  <si>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</si>
  <si>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</si>
  <si>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</si>
  <si>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</si>
  <si>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</si>
  <si>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</si>
  <si>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</si>
  <si>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</si>
  <si>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</si>
  <si>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</si>
  <si>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</si>
  <si>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</si>
  <si>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</si>
  <si>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</si>
  <si>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</si>
  <si>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</si>
  <si>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</si>
  <si>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</si>
  <si>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</si>
  <si>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</si>
  <si>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</si>
  <si>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</si>
  <si>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</si>
  <si>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</si>
  <si>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</si>
  <si>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</si>
  <si>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</si>
  <si>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</si>
  <si>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</si>
  <si>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</si>
  <si>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</si>
  <si>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</si>
  <si>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</si>
  <si>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</si>
  <si>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</si>
  <si>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</si>
  <si>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</si>
  <si>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</si>
  <si>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</si>
  <si>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</si>
  <si>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</si>
  <si>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</si>
  <si>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</si>
  <si>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</si>
  <si>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</si>
  <si>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</si>
  <si>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</si>
  <si>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</si>
  <si>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</si>
  <si>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</si>
  <si>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</si>
  <si>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</si>
  <si>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</si>
  <si>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</si>
  <si>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</si>
  <si>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</si>
  <si>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</si>
  <si>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</si>
  <si>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</si>
  <si>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</si>
  <si>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</si>
  <si>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</si>
  <si>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</si>
  <si>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</si>
  <si>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</si>
  <si>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</si>
  <si>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</si>
  <si>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</si>
  <si>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</si>
  <si>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</si>
  <si>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</si>
  <si>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</si>
  <si>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</si>
  <si>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</si>
  <si>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</si>
  <si>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</si>
  <si>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</si>
  <si>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</si>
  <si>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</si>
  <si>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</si>
  <si>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</si>
  <si>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</si>
  <si>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</si>
  <si>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</si>
  <si>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</si>
  <si>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</si>
  <si>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</si>
  <si>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</si>
  <si>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</si>
  <si>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</si>
  <si>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</si>
  <si>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</si>
  <si>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</si>
  <si>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</si>
  <si>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</si>
  <si>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</si>
  <si>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</si>
  <si>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</si>
  <si>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</si>
  <si>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</si>
  <si>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</si>
  <si>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</si>
  <si>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</si>
  <si>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</si>
  <si>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</si>
  <si>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</si>
  <si>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</si>
  <si>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</si>
  <si>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</si>
  <si>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</si>
  <si>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</si>
  <si>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</si>
  <si>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</si>
  <si>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</si>
  <si>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</si>
  <si>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</si>
  <si>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</si>
  <si>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</si>
  <si>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</si>
  <si>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</si>
  <si>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</si>
  <si>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</si>
  <si>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</si>
  <si>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</si>
  <si>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</si>
  <si>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</si>
  <si>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</si>
  <si>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</si>
  <si>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</si>
  <si>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</si>
  <si>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</si>
  <si>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</si>
  <si>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</si>
  <si>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</si>
  <si>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</si>
  <si>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</si>
  <si>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</si>
  <si>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</si>
  <si>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</si>
  <si>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</si>
  <si>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</si>
  <si>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</si>
  <si>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</si>
  <si>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</si>
  <si>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</si>
  <si>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</si>
  <si>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</si>
  <si>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</si>
  <si>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</si>
  <si>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</si>
  <si>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</si>
  <si>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</si>
  <si>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</si>
  <si>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</si>
  <si>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</si>
  <si>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</si>
  <si>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</si>
  <si>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</si>
  <si>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</si>
  <si>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</si>
  <si>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</si>
  <si>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</si>
  <si>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</si>
  <si>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</si>
  <si>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</si>
  <si>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</si>
  <si>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</si>
  <si>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</si>
  <si>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</si>
  <si>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</si>
  <si>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</si>
  <si>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</si>
  <si>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</si>
  <si>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</si>
  <si>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</si>
  <si>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</si>
  <si>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</si>
  <si>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</si>
  <si>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</si>
  <si>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</si>
  <si>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</si>
  <si>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</si>
  <si>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</si>
  <si>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</si>
  <si>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</si>
  <si>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</si>
  <si>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</si>
  <si>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</si>
  <si>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</si>
  <si>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</si>
  <si>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</si>
  <si>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</si>
  <si>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</si>
  <si>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</si>
  <si>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</si>
  <si>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</si>
  <si>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</si>
  <si>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</si>
  <si>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</si>
  <si>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</si>
  <si>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</si>
  <si>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</si>
  <si>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</si>
  <si>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</si>
  <si>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</si>
  <si>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</si>
  <si>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</si>
  <si>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</si>
  <si>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</si>
  <si>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</si>
  <si>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</si>
  <si>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</si>
  <si>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</si>
  <si>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</si>
  <si>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</si>
  <si>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</si>
  <si>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</si>
  <si>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</si>
  <si>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</si>
  <si>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</si>
  <si>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</si>
  <si>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</si>
  <si>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</si>
  <si>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</si>
  <si>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</si>
  <si>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</si>
  <si>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</si>
  <si>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</si>
  <si>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</si>
  <si>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</si>
  <si>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</si>
  <si>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</si>
  <si>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</si>
  <si>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</si>
  <si>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</si>
  <si>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</si>
  <si>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</si>
  <si>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</si>
  <si>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</si>
  <si>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</si>
  <si>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</si>
  <si>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</si>
  <si>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</si>
  <si>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</si>
  <si>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</si>
  <si>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</si>
  <si>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</si>
  <si>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</si>
  <si>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</si>
  <si>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</si>
  <si>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</si>
  <si>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</si>
  <si>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</si>
  <si>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</si>
  <si>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</si>
  <si>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</si>
  <si>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</si>
  <si>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</si>
  <si>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</si>
  <si>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</si>
  <si>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</si>
  <si>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</si>
  <si>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</si>
  <si>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</si>
  <si>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</si>
  <si>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</si>
  <si>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</si>
  <si>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</si>
  <si>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</si>
  <si>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</si>
  <si>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</si>
  <si>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</si>
  <si>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</si>
  <si>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</si>
  <si>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</si>
  <si>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</si>
  <si>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</si>
  <si>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</si>
  <si>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</si>
  <si>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</si>
  <si>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</si>
  <si>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</si>
  <si>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</si>
  <si>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</si>
  <si>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</si>
  <si>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</si>
  <si>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</si>
  <si>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</si>
  <si>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</si>
  <si>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</si>
  <si>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</si>
  <si>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</si>
  <si>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</si>
  <si>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</si>
  <si>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</si>
  <si>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</si>
  <si>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</si>
  <si>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</si>
  <si>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</si>
  <si>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</si>
  <si>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</si>
  <si>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</si>
  <si>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</si>
  <si>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</si>
  <si>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</si>
  <si>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</si>
  <si>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</si>
  <si>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</si>
  <si>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</si>
  <si>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</si>
  <si>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</si>
  <si>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</si>
  <si>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</si>
  <si>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</si>
  <si>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</si>
  <si>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</si>
  <si>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</si>
  <si>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</si>
  <si>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</si>
  <si>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</si>
  <si>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</si>
  <si>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</si>
  <si>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</si>
  <si>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</si>
  <si>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</si>
  <si>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</si>
  <si>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</si>
  <si>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</si>
  <si>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</si>
  <si>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</si>
  <si>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</si>
  <si>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</si>
  <si>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</si>
  <si>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</si>
  <si>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</si>
  <si>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</si>
  <si>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</si>
  <si>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</si>
  <si>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</si>
  <si>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</si>
  <si>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</si>
  <si>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</si>
  <si>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</si>
  <si>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</si>
  <si>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</si>
  <si>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</si>
  <si>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</si>
  <si>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</si>
  <si>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</si>
  <si>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</si>
  <si>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</si>
  <si>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</si>
  <si>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</si>
  <si>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</si>
  <si>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</si>
  <si>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</si>
  <si>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</si>
  <si>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</si>
  <si>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</si>
  <si>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</si>
  <si>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</si>
  <si>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</si>
  <si>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</si>
  <si>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</si>
  <si>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</si>
  <si>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</si>
  <si>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</si>
  <si>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</si>
  <si>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</si>
  <si>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</si>
  <si>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</si>
  <si>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</si>
  <si>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</si>
  <si>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</si>
  <si>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</si>
  <si>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</si>
  <si>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</si>
  <si>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</si>
  <si>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</si>
  <si>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</si>
  <si>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</si>
  <si>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</si>
  <si>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</si>
  <si>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</si>
  <si>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</si>
  <si>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</si>
  <si>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</si>
  <si>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</si>
  <si>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</si>
  <si>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</si>
  <si>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</si>
  <si>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</si>
  <si>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</si>
  <si>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</si>
  <si>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</si>
  <si>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</si>
  <si>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</si>
  <si>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</si>
  <si>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</si>
  <si>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</si>
  <si>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</si>
  <si>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</si>
  <si>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</si>
  <si>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</si>
  <si>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</si>
  <si>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</si>
  <si>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</si>
  <si>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</si>
  <si>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</si>
  <si>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</si>
  <si>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</si>
  <si>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</si>
  <si>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</si>
  <si>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</si>
  <si>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</si>
  <si>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</si>
  <si>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</si>
  <si>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</si>
  <si>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</si>
  <si>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</si>
  <si>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</si>
  <si>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</si>
  <si>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</si>
  <si>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</si>
  <si>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</si>
  <si>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</si>
  <si>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</si>
  <si>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</si>
  <si>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</si>
  <si>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</si>
  <si>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</si>
  <si>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</si>
  <si>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</si>
  <si>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</si>
  <si>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</si>
  <si>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</si>
  <si>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</si>
  <si>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</si>
  <si>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</si>
  <si>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</si>
  <si>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</si>
  <si>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</si>
  <si>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</si>
  <si>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</si>
  <si>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</si>
  <si>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</si>
  <si>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</si>
  <si>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</si>
  <si>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</si>
  <si>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</si>
  <si>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</si>
  <si>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</si>
  <si>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</si>
  <si>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</si>
  <si>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</si>
  <si>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</si>
  <si>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</si>
  <si>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</si>
  <si>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</si>
  <si>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</si>
  <si>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</si>
  <si>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</si>
  <si>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</si>
  <si>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</si>
  <si>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</si>
  <si>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</si>
  <si>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</si>
  <si>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</si>
  <si>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</si>
  <si>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</si>
  <si>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</si>
  <si>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</si>
  <si>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</si>
  <si>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</si>
  <si>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</si>
  <si>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</si>
  <si>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</si>
  <si>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</si>
  <si>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</si>
  <si>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</si>
  <si>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</si>
  <si>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</si>
  <si>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</si>
  <si>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</si>
  <si>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</si>
  <si>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</si>
  <si>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</si>
  <si>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</si>
  <si>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</si>
  <si>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</si>
  <si>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</si>
  <si>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</si>
  <si>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</si>
  <si>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</si>
  <si>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</si>
  <si>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</si>
  <si>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</si>
  <si>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</si>
  <si>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</si>
  <si>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</si>
  <si>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</si>
  <si>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</si>
  <si>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</si>
  <si>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</si>
  <si>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</si>
  <si>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</si>
  <si>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</si>
  <si>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</si>
  <si>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</si>
  <si>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</si>
  <si>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</si>
  <si>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</si>
  <si>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</si>
  <si>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</si>
  <si>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</si>
  <si>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</si>
  <si>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</si>
  <si>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</si>
  <si>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</si>
  <si>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</si>
  <si>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</si>
  <si>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</si>
  <si>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</si>
  <si>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</si>
  <si>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</si>
  <si>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</si>
  <si>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</si>
  <si>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</si>
  <si>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</si>
  <si>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</si>
  <si>
    <t>feature_name_ru</t>
  </si>
  <si>
    <t>value_type</t>
  </si>
  <si>
    <t>value_id</t>
  </si>
  <si>
    <t>value_id_and_value</t>
  </si>
  <si>
    <t>value_custom</t>
  </si>
  <si>
    <t>comment_ru</t>
  </si>
  <si>
    <t>comment_en</t>
  </si>
  <si>
    <t>listed</t>
  </si>
  <si>
    <t>not_stated</t>
  </si>
  <si>
    <t>Е.А. Макарова / Т.Г. Дедов Статья написана на основе сенакского диалекта</t>
  </si>
  <si>
    <t>Ряды и подъемы не прописаны эксплицитно, но отражены в схеме.</t>
  </si>
  <si>
    <t>Вместо "велярные" используется термин "заднеязычные".</t>
  </si>
  <si>
    <t>В статье используется термин "губные", но есть фонема "v", являющаяся губно-зубной.</t>
  </si>
  <si>
    <t>Вместо "глоттальные" используется термин "ларингальные".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</si>
</sst>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vertical="center" wrapText="1"/>
    </xf>
    <xf numFmtId="0" fontId="5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0" fillId="4" borderId="0" xfId="0" applyFill="1" applyProtection="1">
      <protection locked="0"/>
    </xf>
    <xf numFmtId="0" fontId="0" fillId="4" borderId="0" xfId="0" applyFill="1"/>
    <xf numFmtId="0" fontId="0" fillId="0" borderId="0" xfId="0" applyNumberFormat="1"/>
  </cellXfs>
  <cellStyles count="1">
    <cellStyle name="Обычный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>
  <queryTableRefresh nextId="9">
    <queryTableFields count="8">
      <queryTableField id="1" name="feature_id" tableColumnId="9"/>
      <queryTableField id="2" name="feature_name_ru" tableColumnId="10"/>
      <queryTableField id="3" name="value_type" tableColumnId="11"/>
      <queryTableField id="4" name="value_id" tableColumnId="12"/>
      <queryTableField id="5" name="value_id_and_value" tableColumnId="13"/>
      <queryTableField id="6" name="value_custom" tableColumnId="14"/>
      <queryTableField id="7" name="comment_ru" tableColumnId="15"/>
      <queryTableField id="8" name="comment_en" tableColumnId="16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4" name="mingrelian" displayName="mingrelian" ref="A1:H130" tableType="queryTable" totalsRowShown="0">
  <autoFilter ref="A1:H130"/>
  <tableColumns count="8">
    <tableColumn id="9" uniqueName="9" name="feature_id" queryTableFieldId="1" dataDxfId="36"/>
    <tableColumn id="10" uniqueName="10" name="feature_name_ru" queryTableFieldId="2" dataDxfId="35"/>
    <tableColumn id="11" uniqueName="11" name="value_type" queryTableFieldId="3" dataDxfId="34"/>
    <tableColumn id="12" uniqueName="12" name="value_id" queryTableFieldId="4" dataDxfId="33"/>
    <tableColumn id="13" uniqueName="13" name="value_id_and_value" queryTableFieldId="5"/>
    <tableColumn id="14" uniqueName="14" name="value_custom" queryTableFieldId="6"/>
    <tableColumn id="15" uniqueName="15" name="comment_ru" queryTableFieldId="7" dataDxfId="32"/>
    <tableColumn id="16" uniqueName="16" name="comment_en" queryTableFieldId="8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InputForm" displayName="InputForm" ref="A1:I131" totalsRowShown="0" headerRowDxfId="15">
  <autoFilter ref="A1:I131"/>
  <tableColumns count="9">
    <tableColumn id="1" name="feature_id" dataDxfId="14"/>
    <tableColumn id="6" name="Признак" dataDxfId="13">
      <calculatedColumnFormula>VLOOKUP(InputForm[[#This Row],[feature_id]],features[],3,FALSE)</calculatedColumnFormula>
    </tableColumn>
    <tableColumn id="5" name="Тип значения" dataDxfId="12"/>
    <tableColumn id="9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name="Значение из списка (тип значения listed)" dataDxfId="10"/>
    <tableColumn id="7" name="Значение не из фиксированного списка (тип значения custom)" dataDxfId="9"/>
    <tableColumn id="3" name="Комментарий" dataDxfId="8"/>
    <tableColumn id="4" name="Comment in English" dataDxfId="7"/>
    <tableColumn id="8" name="Страницы" dataDxfId="6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features" displayName="features" ref="A1:C130" tableType="queryTable" totalsRowShown="0">
  <autoFilter ref="A1:C130"/>
  <tableColumns count="3">
    <tableColumn id="1" uniqueName="1" name="id" queryTableFieldId="4" dataDxfId="5"/>
    <tableColumn id="2" uniqueName="2" name="en" queryTableFieldId="5" dataDxfId="4"/>
    <tableColumn id="3" uniqueName="3" name="ru" queryTableFieldId="6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features_listed_values" displayName="features_listed_values" ref="A1:D1220" tableType="queryTable" totalsRowShown="0">
  <autoFilter ref="A1:D1220"/>
  <tableColumns count="4">
    <tableColumn id="1" uniqueName="1" name="id" queryTableFieldId="5" dataDxfId="2"/>
    <tableColumn id="2" uniqueName="2" name="feature_id" queryTableFieldId="6" dataDxfId="1"/>
    <tableColumn id="4" uniqueName="4" name="ru" queryTableFieldId="8" dataDxfId="0"/>
    <tableColumn id="5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0"/>
  <sheetViews>
    <sheetView workbookViewId="0">
      <selection activeCell="E2" sqref="E2:G130"/>
    </sheetView>
  </sheetViews>
  <sheetFormatPr defaultRowHeight="14.4" x14ac:dyDescent="0.3"/>
  <cols>
    <col min="1" max="1" width="11.88671875" bestFit="1" customWidth="1"/>
    <col min="2" max="2" width="75.77734375" bestFit="1" customWidth="1"/>
    <col min="3" max="3" width="13.109375" bestFit="1" customWidth="1"/>
    <col min="4" max="4" width="10.33203125" bestFit="1" customWidth="1"/>
    <col min="5" max="5" width="76.77734375" bestFit="1" customWidth="1"/>
    <col min="6" max="6" width="15" bestFit="1" customWidth="1"/>
    <col min="7" max="7" width="14.109375" bestFit="1" customWidth="1"/>
    <col min="8" max="8" width="14.44140625" bestFit="1" customWidth="1"/>
  </cols>
  <sheetData>
    <row r="1" spans="1:8" x14ac:dyDescent="0.3">
      <c r="A1" t="s">
        <v>928</v>
      </c>
      <c r="B1" t="s">
        <v>3903</v>
      </c>
      <c r="C1" t="s">
        <v>3904</v>
      </c>
      <c r="D1" t="s">
        <v>3905</v>
      </c>
      <c r="E1" t="s">
        <v>3906</v>
      </c>
      <c r="F1" t="s">
        <v>3907</v>
      </c>
      <c r="G1" t="s">
        <v>3908</v>
      </c>
      <c r="H1" t="s">
        <v>3909</v>
      </c>
    </row>
    <row r="2" spans="1:8" x14ac:dyDescent="0.3">
      <c r="A2" s="18" t="s">
        <v>699</v>
      </c>
      <c r="B2" s="18" t="s">
        <v>3893</v>
      </c>
      <c r="C2" s="18" t="s">
        <v>3910</v>
      </c>
      <c r="D2" s="18" t="s">
        <v>941</v>
      </c>
      <c r="E2" t="s">
        <v>1892</v>
      </c>
      <c r="F2" t="s">
        <v>2489</v>
      </c>
      <c r="G2" s="18" t="s">
        <v>2489</v>
      </c>
      <c r="H2" s="18" t="s">
        <v>2489</v>
      </c>
    </row>
    <row r="3" spans="1:8" x14ac:dyDescent="0.3">
      <c r="A3" s="18" t="s">
        <v>700</v>
      </c>
      <c r="B3" s="18" t="s">
        <v>701</v>
      </c>
      <c r="C3" s="18" t="s">
        <v>3910</v>
      </c>
      <c r="D3" s="18" t="s">
        <v>945</v>
      </c>
      <c r="E3" t="s">
        <v>1896</v>
      </c>
      <c r="F3" t="s">
        <v>2489</v>
      </c>
      <c r="G3" s="18" t="s">
        <v>2489</v>
      </c>
      <c r="H3" s="18" t="s">
        <v>2489</v>
      </c>
    </row>
    <row r="4" spans="1:8" x14ac:dyDescent="0.3">
      <c r="A4" s="18" t="s">
        <v>702</v>
      </c>
      <c r="B4" s="18" t="s">
        <v>2491</v>
      </c>
      <c r="C4" s="18" t="s">
        <v>3911</v>
      </c>
      <c r="D4" s="18" t="s">
        <v>2489</v>
      </c>
      <c r="E4" t="s">
        <v>2489</v>
      </c>
      <c r="F4" t="s">
        <v>2489</v>
      </c>
      <c r="G4" s="18" t="s">
        <v>2489</v>
      </c>
      <c r="H4" s="18" t="s">
        <v>2489</v>
      </c>
    </row>
    <row r="5" spans="1:8" x14ac:dyDescent="0.3">
      <c r="A5" s="18" t="s">
        <v>704</v>
      </c>
      <c r="B5" s="18" t="s">
        <v>703</v>
      </c>
      <c r="C5" s="18" t="s">
        <v>3910</v>
      </c>
      <c r="D5" s="18" t="s">
        <v>954</v>
      </c>
      <c r="E5" t="s">
        <v>3625</v>
      </c>
      <c r="F5" t="s">
        <v>2489</v>
      </c>
      <c r="G5" s="18" t="s">
        <v>2489</v>
      </c>
      <c r="H5" s="18" t="s">
        <v>2489</v>
      </c>
    </row>
    <row r="6" spans="1:8" x14ac:dyDescent="0.3">
      <c r="A6" s="18" t="s">
        <v>706</v>
      </c>
      <c r="B6" s="18" t="s">
        <v>3606</v>
      </c>
      <c r="C6" s="18" t="s">
        <v>3910</v>
      </c>
      <c r="D6" s="18" t="s">
        <v>956</v>
      </c>
      <c r="E6" t="s">
        <v>3628</v>
      </c>
      <c r="F6" t="s">
        <v>2489</v>
      </c>
      <c r="G6" s="18" t="s">
        <v>2489</v>
      </c>
      <c r="H6" s="18" t="s">
        <v>2489</v>
      </c>
    </row>
    <row r="7" spans="1:8" x14ac:dyDescent="0.3">
      <c r="A7" s="18" t="s">
        <v>708</v>
      </c>
      <c r="B7" s="18" t="s">
        <v>705</v>
      </c>
      <c r="C7" s="18" t="s">
        <v>933</v>
      </c>
      <c r="D7" s="18" t="s">
        <v>2489</v>
      </c>
      <c r="E7" t="s">
        <v>2489</v>
      </c>
      <c r="F7" t="s">
        <v>2489</v>
      </c>
      <c r="G7" s="18" t="s">
        <v>2489</v>
      </c>
      <c r="H7" s="18" t="s">
        <v>2489</v>
      </c>
    </row>
    <row r="8" spans="1:8" x14ac:dyDescent="0.3">
      <c r="A8" s="18" t="s">
        <v>710</v>
      </c>
      <c r="B8" s="18" t="s">
        <v>3608</v>
      </c>
      <c r="C8" s="18" t="s">
        <v>3911</v>
      </c>
      <c r="D8" s="18" t="s">
        <v>2489</v>
      </c>
      <c r="E8" t="s">
        <v>2489</v>
      </c>
      <c r="F8" t="s">
        <v>2489</v>
      </c>
      <c r="G8" s="18" t="s">
        <v>2489</v>
      </c>
      <c r="H8" s="18" t="s">
        <v>2489</v>
      </c>
    </row>
    <row r="9" spans="1:8" x14ac:dyDescent="0.3">
      <c r="A9" s="18" t="s">
        <v>712</v>
      </c>
      <c r="B9" s="18" t="s">
        <v>707</v>
      </c>
      <c r="C9" s="18" t="s">
        <v>3911</v>
      </c>
      <c r="D9" s="18" t="s">
        <v>2489</v>
      </c>
      <c r="E9" t="s">
        <v>2489</v>
      </c>
      <c r="F9" t="s">
        <v>2489</v>
      </c>
      <c r="G9" s="18" t="s">
        <v>2489</v>
      </c>
      <c r="H9" s="18" t="s">
        <v>2489</v>
      </c>
    </row>
    <row r="10" spans="1:8" x14ac:dyDescent="0.3">
      <c r="A10" s="18" t="s">
        <v>714</v>
      </c>
      <c r="B10" s="18" t="s">
        <v>3610</v>
      </c>
      <c r="C10" s="18" t="s">
        <v>3911</v>
      </c>
      <c r="D10" s="18" t="s">
        <v>2489</v>
      </c>
      <c r="E10" t="s">
        <v>2489</v>
      </c>
      <c r="F10" t="s">
        <v>2489</v>
      </c>
      <c r="G10" s="18" t="s">
        <v>2489</v>
      </c>
      <c r="H10" s="18" t="s">
        <v>2489</v>
      </c>
    </row>
    <row r="11" spans="1:8" x14ac:dyDescent="0.3">
      <c r="A11" s="18" t="s">
        <v>716</v>
      </c>
      <c r="B11" s="18" t="s">
        <v>709</v>
      </c>
      <c r="C11" s="18" t="s">
        <v>3911</v>
      </c>
      <c r="D11" s="18" t="s">
        <v>2489</v>
      </c>
      <c r="E11" t="s">
        <v>2489</v>
      </c>
      <c r="F11" t="s">
        <v>2489</v>
      </c>
      <c r="G11" s="18" t="s">
        <v>2489</v>
      </c>
      <c r="H11" s="18" t="s">
        <v>2489</v>
      </c>
    </row>
    <row r="12" spans="1:8" x14ac:dyDescent="0.3">
      <c r="A12" s="18" t="s">
        <v>718</v>
      </c>
      <c r="B12" s="18" t="s">
        <v>711</v>
      </c>
      <c r="C12" s="18" t="s">
        <v>3911</v>
      </c>
      <c r="D12" s="18" t="s">
        <v>2489</v>
      </c>
      <c r="E12" t="s">
        <v>2489</v>
      </c>
      <c r="F12" t="s">
        <v>2489</v>
      </c>
      <c r="G12" s="18" t="s">
        <v>2489</v>
      </c>
      <c r="H12" s="18" t="s">
        <v>2489</v>
      </c>
    </row>
    <row r="13" spans="1:8" x14ac:dyDescent="0.3">
      <c r="A13" s="18" t="s">
        <v>720</v>
      </c>
      <c r="B13" s="18" t="s">
        <v>713</v>
      </c>
      <c r="C13" s="18" t="s">
        <v>3911</v>
      </c>
      <c r="D13" s="18" t="s">
        <v>2489</v>
      </c>
      <c r="E13" t="s">
        <v>2489</v>
      </c>
      <c r="F13" t="s">
        <v>2489</v>
      </c>
      <c r="G13" s="18" t="s">
        <v>2489</v>
      </c>
      <c r="H13" s="18" t="s">
        <v>2489</v>
      </c>
    </row>
    <row r="14" spans="1:8" x14ac:dyDescent="0.3">
      <c r="A14" s="18" t="s">
        <v>721</v>
      </c>
      <c r="B14" s="18" t="s">
        <v>715</v>
      </c>
      <c r="C14" s="18" t="s">
        <v>3910</v>
      </c>
      <c r="D14" s="18" t="s">
        <v>984</v>
      </c>
      <c r="E14" t="s">
        <v>3669</v>
      </c>
      <c r="F14" t="s">
        <v>2489</v>
      </c>
      <c r="G14" s="18" t="s">
        <v>2489</v>
      </c>
      <c r="H14" s="18" t="s">
        <v>2489</v>
      </c>
    </row>
    <row r="15" spans="1:8" x14ac:dyDescent="0.3">
      <c r="A15" s="18" t="s">
        <v>722</v>
      </c>
      <c r="B15" s="18" t="s">
        <v>717</v>
      </c>
      <c r="C15" s="18" t="s">
        <v>933</v>
      </c>
      <c r="D15" s="18" t="s">
        <v>2489</v>
      </c>
      <c r="E15" t="s">
        <v>2489</v>
      </c>
      <c r="F15" t="s">
        <v>2489</v>
      </c>
      <c r="G15" s="18" t="s">
        <v>2489</v>
      </c>
      <c r="H15" s="18" t="s">
        <v>2489</v>
      </c>
    </row>
    <row r="16" spans="1:8" x14ac:dyDescent="0.3">
      <c r="A16" s="18" t="s">
        <v>723</v>
      </c>
      <c r="B16" s="18" t="s">
        <v>719</v>
      </c>
      <c r="C16" s="18" t="s">
        <v>3910</v>
      </c>
      <c r="D16" s="18" t="s">
        <v>996</v>
      </c>
      <c r="E16" t="s">
        <v>3687</v>
      </c>
      <c r="F16" t="s">
        <v>2489</v>
      </c>
      <c r="G16" s="18" t="s">
        <v>2489</v>
      </c>
      <c r="H16" s="18" t="s">
        <v>2489</v>
      </c>
    </row>
    <row r="17" spans="1:8" x14ac:dyDescent="0.3">
      <c r="A17" s="18" t="s">
        <v>725</v>
      </c>
      <c r="B17" s="18" t="s">
        <v>3611</v>
      </c>
      <c r="C17" s="18" t="s">
        <v>3910</v>
      </c>
      <c r="D17" s="18" t="s">
        <v>1011</v>
      </c>
      <c r="E17" t="s">
        <v>3702</v>
      </c>
      <c r="F17" t="s">
        <v>2489</v>
      </c>
      <c r="G17" s="18" t="s">
        <v>2489</v>
      </c>
      <c r="H17" s="18" t="s">
        <v>2489</v>
      </c>
    </row>
    <row r="18" spans="1:8" x14ac:dyDescent="0.3">
      <c r="A18" s="18" t="s">
        <v>726</v>
      </c>
      <c r="B18" s="18" t="s">
        <v>3894</v>
      </c>
      <c r="C18" s="18" t="s">
        <v>3910</v>
      </c>
      <c r="D18" s="18" t="s">
        <v>1013</v>
      </c>
      <c r="E18" t="s">
        <v>3898</v>
      </c>
      <c r="F18" t="s">
        <v>2489</v>
      </c>
      <c r="G18" s="18" t="s">
        <v>2489</v>
      </c>
      <c r="H18" s="18" t="s">
        <v>2489</v>
      </c>
    </row>
    <row r="19" spans="1:8" x14ac:dyDescent="0.3">
      <c r="A19" s="18" t="s">
        <v>727</v>
      </c>
      <c r="B19" s="18" t="s">
        <v>3612</v>
      </c>
      <c r="C19" s="18" t="s">
        <v>3911</v>
      </c>
      <c r="D19" s="18" t="s">
        <v>2489</v>
      </c>
      <c r="E19" t="s">
        <v>2489</v>
      </c>
      <c r="F19" t="s">
        <v>2489</v>
      </c>
      <c r="G19" s="18" t="s">
        <v>2489</v>
      </c>
      <c r="H19" s="18" t="s">
        <v>2489</v>
      </c>
    </row>
    <row r="20" spans="1:8" x14ac:dyDescent="0.3">
      <c r="A20" s="18" t="s">
        <v>729</v>
      </c>
      <c r="B20" s="18" t="s">
        <v>724</v>
      </c>
      <c r="C20" s="18" t="s">
        <v>3911</v>
      </c>
      <c r="D20" s="18" t="s">
        <v>2489</v>
      </c>
      <c r="E20" t="s">
        <v>2489</v>
      </c>
      <c r="F20" t="s">
        <v>2489</v>
      </c>
      <c r="G20" s="18" t="s">
        <v>2489</v>
      </c>
      <c r="H20" s="18" t="s">
        <v>2489</v>
      </c>
    </row>
    <row r="21" spans="1:8" x14ac:dyDescent="0.3">
      <c r="A21" s="18" t="s">
        <v>731</v>
      </c>
      <c r="B21" s="18" t="s">
        <v>3613</v>
      </c>
      <c r="C21" s="18" t="s">
        <v>3911</v>
      </c>
      <c r="D21" s="18" t="s">
        <v>2489</v>
      </c>
      <c r="E21" t="s">
        <v>2489</v>
      </c>
      <c r="F21" t="s">
        <v>2489</v>
      </c>
      <c r="G21" s="18" t="s">
        <v>2489</v>
      </c>
      <c r="H21" s="18" t="s">
        <v>2489</v>
      </c>
    </row>
    <row r="22" spans="1:8" x14ac:dyDescent="0.3">
      <c r="A22" s="18" t="s">
        <v>733</v>
      </c>
      <c r="B22" s="18" t="s">
        <v>3614</v>
      </c>
      <c r="C22" s="18" t="s">
        <v>3911</v>
      </c>
      <c r="D22" s="18" t="s">
        <v>2489</v>
      </c>
      <c r="E22" t="s">
        <v>2489</v>
      </c>
      <c r="F22" t="s">
        <v>2489</v>
      </c>
      <c r="G22" s="18" t="s">
        <v>2489</v>
      </c>
      <c r="H22" s="18" t="s">
        <v>2489</v>
      </c>
    </row>
    <row r="23" spans="1:8" x14ac:dyDescent="0.3">
      <c r="A23" s="18" t="s">
        <v>3600</v>
      </c>
      <c r="B23" s="18" t="s">
        <v>728</v>
      </c>
      <c r="C23" s="18" t="s">
        <v>3911</v>
      </c>
      <c r="D23" s="18" t="s">
        <v>2489</v>
      </c>
      <c r="E23" t="s">
        <v>2489</v>
      </c>
      <c r="F23" t="s">
        <v>2489</v>
      </c>
      <c r="G23" s="18" t="s">
        <v>2489</v>
      </c>
      <c r="H23" s="18" t="s">
        <v>2489</v>
      </c>
    </row>
    <row r="24" spans="1:8" x14ac:dyDescent="0.3">
      <c r="A24" s="18" t="s">
        <v>3601</v>
      </c>
      <c r="B24" s="18" t="s">
        <v>730</v>
      </c>
      <c r="C24" s="18" t="s">
        <v>3911</v>
      </c>
      <c r="D24" s="18" t="s">
        <v>2489</v>
      </c>
      <c r="E24" t="s">
        <v>2489</v>
      </c>
      <c r="F24" t="s">
        <v>2489</v>
      </c>
      <c r="G24" s="18" t="s">
        <v>2489</v>
      </c>
      <c r="H24" s="18" t="s">
        <v>2489</v>
      </c>
    </row>
    <row r="25" spans="1:8" x14ac:dyDescent="0.3">
      <c r="A25" s="18" t="s">
        <v>3602</v>
      </c>
      <c r="B25" s="18" t="s">
        <v>732</v>
      </c>
      <c r="C25" s="18" t="s">
        <v>3910</v>
      </c>
      <c r="D25" s="18" t="s">
        <v>3839</v>
      </c>
      <c r="E25" t="s">
        <v>3840</v>
      </c>
      <c r="F25" t="s">
        <v>2489</v>
      </c>
      <c r="G25" s="18" t="s">
        <v>2489</v>
      </c>
      <c r="H25" s="18" t="s">
        <v>2489</v>
      </c>
    </row>
    <row r="26" spans="1:8" x14ac:dyDescent="0.3">
      <c r="A26" s="18" t="s">
        <v>3603</v>
      </c>
      <c r="B26" s="18" t="s">
        <v>734</v>
      </c>
      <c r="C26" s="18" t="s">
        <v>3910</v>
      </c>
      <c r="D26" s="18" t="s">
        <v>3853</v>
      </c>
      <c r="E26" t="s">
        <v>3854</v>
      </c>
      <c r="F26" t="s">
        <v>2489</v>
      </c>
      <c r="G26" s="18" t="s">
        <v>2489</v>
      </c>
      <c r="H26" s="18" t="s">
        <v>2489</v>
      </c>
    </row>
    <row r="27" spans="1:8" x14ac:dyDescent="0.3">
      <c r="A27" s="18" t="s">
        <v>3604</v>
      </c>
      <c r="B27" s="18" t="s">
        <v>2493</v>
      </c>
      <c r="C27" s="18" t="s">
        <v>3911</v>
      </c>
      <c r="D27" s="18" t="s">
        <v>2489</v>
      </c>
      <c r="E27" t="s">
        <v>2489</v>
      </c>
      <c r="F27" t="s">
        <v>2489</v>
      </c>
      <c r="G27" s="18" t="s">
        <v>2489</v>
      </c>
      <c r="H27" s="18" t="s">
        <v>2489</v>
      </c>
    </row>
    <row r="28" spans="1:8" x14ac:dyDescent="0.3">
      <c r="A28" s="18" t="s">
        <v>735</v>
      </c>
      <c r="B28" s="18" t="s">
        <v>736</v>
      </c>
      <c r="C28" s="18" t="s">
        <v>3911</v>
      </c>
      <c r="D28" s="18" t="s">
        <v>2489</v>
      </c>
      <c r="E28" t="s">
        <v>2489</v>
      </c>
      <c r="F28" t="s">
        <v>2489</v>
      </c>
      <c r="G28" s="18" t="s">
        <v>2489</v>
      </c>
      <c r="H28" s="18" t="s">
        <v>2489</v>
      </c>
    </row>
    <row r="29" spans="1:8" x14ac:dyDescent="0.3">
      <c r="A29" s="18" t="s">
        <v>737</v>
      </c>
      <c r="B29" s="18" t="s">
        <v>738</v>
      </c>
      <c r="C29" s="18" t="s">
        <v>3910</v>
      </c>
      <c r="D29" s="18" t="s">
        <v>1033</v>
      </c>
      <c r="E29" t="s">
        <v>1902</v>
      </c>
      <c r="F29" t="s">
        <v>2489</v>
      </c>
      <c r="G29" s="18" t="s">
        <v>2489</v>
      </c>
      <c r="H29" s="18" t="s">
        <v>2489</v>
      </c>
    </row>
    <row r="30" spans="1:8" x14ac:dyDescent="0.3">
      <c r="A30" s="18" t="s">
        <v>739</v>
      </c>
      <c r="B30" s="18" t="s">
        <v>740</v>
      </c>
      <c r="C30" s="18" t="s">
        <v>3910</v>
      </c>
      <c r="D30" s="18" t="s">
        <v>1037</v>
      </c>
      <c r="E30" t="s">
        <v>1906</v>
      </c>
      <c r="F30" t="s">
        <v>2489</v>
      </c>
      <c r="G30" s="18" t="s">
        <v>2489</v>
      </c>
      <c r="H30" s="18" t="s">
        <v>2489</v>
      </c>
    </row>
    <row r="31" spans="1:8" x14ac:dyDescent="0.3">
      <c r="A31" s="18" t="s">
        <v>741</v>
      </c>
      <c r="B31" s="18" t="s">
        <v>742</v>
      </c>
      <c r="C31" s="18" t="s">
        <v>3910</v>
      </c>
      <c r="D31" s="18" t="s">
        <v>1042</v>
      </c>
      <c r="E31" t="s">
        <v>1911</v>
      </c>
      <c r="F31" t="s">
        <v>2489</v>
      </c>
      <c r="G31" s="18" t="s">
        <v>2489</v>
      </c>
      <c r="H31" s="18" t="s">
        <v>2489</v>
      </c>
    </row>
    <row r="32" spans="1:8" x14ac:dyDescent="0.3">
      <c r="A32" s="18" t="s">
        <v>743</v>
      </c>
      <c r="B32" s="18" t="s">
        <v>744</v>
      </c>
      <c r="C32" s="18" t="s">
        <v>3910</v>
      </c>
      <c r="D32" s="18" t="s">
        <v>1057</v>
      </c>
      <c r="E32" t="s">
        <v>1926</v>
      </c>
      <c r="F32" t="s">
        <v>2489</v>
      </c>
      <c r="G32" s="18" t="s">
        <v>2489</v>
      </c>
      <c r="H32" s="18" t="s">
        <v>2489</v>
      </c>
    </row>
    <row r="33" spans="1:8" x14ac:dyDescent="0.3">
      <c r="A33" s="18" t="s">
        <v>745</v>
      </c>
      <c r="B33" s="18" t="s">
        <v>746</v>
      </c>
      <c r="C33" s="18" t="s">
        <v>3911</v>
      </c>
      <c r="D33" s="18" t="s">
        <v>2489</v>
      </c>
      <c r="E33" t="s">
        <v>2489</v>
      </c>
      <c r="F33" t="s">
        <v>2489</v>
      </c>
      <c r="G33" s="18" t="s">
        <v>2489</v>
      </c>
      <c r="H33" s="18" t="s">
        <v>2489</v>
      </c>
    </row>
    <row r="34" spans="1:8" x14ac:dyDescent="0.3">
      <c r="A34" s="18" t="s">
        <v>747</v>
      </c>
      <c r="B34" s="18" t="s">
        <v>748</v>
      </c>
      <c r="C34" s="18" t="s">
        <v>3911</v>
      </c>
      <c r="D34" s="18" t="s">
        <v>2489</v>
      </c>
      <c r="E34" t="s">
        <v>2489</v>
      </c>
      <c r="F34" t="s">
        <v>2489</v>
      </c>
      <c r="G34" s="18" t="s">
        <v>2489</v>
      </c>
      <c r="H34" s="18" t="s">
        <v>2489</v>
      </c>
    </row>
    <row r="35" spans="1:8" x14ac:dyDescent="0.3">
      <c r="A35" s="18" t="s">
        <v>749</v>
      </c>
      <c r="B35" s="18" t="s">
        <v>750</v>
      </c>
      <c r="C35" s="18" t="s">
        <v>3911</v>
      </c>
      <c r="D35" s="18" t="s">
        <v>2489</v>
      </c>
      <c r="E35" t="s">
        <v>2489</v>
      </c>
      <c r="F35" t="s">
        <v>2489</v>
      </c>
      <c r="G35" s="18" t="s">
        <v>2489</v>
      </c>
      <c r="H35" s="18" t="s">
        <v>2489</v>
      </c>
    </row>
    <row r="36" spans="1:8" x14ac:dyDescent="0.3">
      <c r="A36" s="18" t="s">
        <v>751</v>
      </c>
      <c r="B36" s="18" t="s">
        <v>752</v>
      </c>
      <c r="C36" s="18" t="s">
        <v>3911</v>
      </c>
      <c r="D36" s="18" t="s">
        <v>2489</v>
      </c>
      <c r="E36" t="s">
        <v>2489</v>
      </c>
      <c r="F36" t="s">
        <v>2489</v>
      </c>
      <c r="G36" s="18" t="s">
        <v>2489</v>
      </c>
      <c r="H36" s="18" t="s">
        <v>2489</v>
      </c>
    </row>
    <row r="37" spans="1:8" x14ac:dyDescent="0.3">
      <c r="A37" s="18" t="s">
        <v>753</v>
      </c>
      <c r="B37" s="18" t="s">
        <v>754</v>
      </c>
      <c r="C37" s="18" t="s">
        <v>3911</v>
      </c>
      <c r="D37" s="18" t="s">
        <v>2489</v>
      </c>
      <c r="E37" t="s">
        <v>2489</v>
      </c>
      <c r="F37" t="s">
        <v>2489</v>
      </c>
      <c r="G37" s="18" t="s">
        <v>2489</v>
      </c>
      <c r="H37" s="18" t="s">
        <v>2489</v>
      </c>
    </row>
    <row r="38" spans="1:8" x14ac:dyDescent="0.3">
      <c r="A38" s="18" t="s">
        <v>755</v>
      </c>
      <c r="B38" s="18" t="s">
        <v>756</v>
      </c>
      <c r="C38" s="18" t="s">
        <v>3911</v>
      </c>
      <c r="D38" s="18" t="s">
        <v>2489</v>
      </c>
      <c r="E38" t="s">
        <v>2489</v>
      </c>
      <c r="F38" t="s">
        <v>2489</v>
      </c>
      <c r="G38" s="18" t="s">
        <v>2489</v>
      </c>
      <c r="H38" s="18" t="s">
        <v>2489</v>
      </c>
    </row>
    <row r="39" spans="1:8" x14ac:dyDescent="0.3">
      <c r="A39" s="18" t="s">
        <v>757</v>
      </c>
      <c r="B39" s="18" t="s">
        <v>758</v>
      </c>
      <c r="C39" s="18" t="s">
        <v>3911</v>
      </c>
      <c r="D39" s="18" t="s">
        <v>2489</v>
      </c>
      <c r="E39" t="s">
        <v>2489</v>
      </c>
      <c r="F39" t="s">
        <v>2489</v>
      </c>
      <c r="G39" s="18" t="s">
        <v>2489</v>
      </c>
      <c r="H39" s="18" t="s">
        <v>2489</v>
      </c>
    </row>
    <row r="40" spans="1:8" x14ac:dyDescent="0.3">
      <c r="A40" s="18" t="s">
        <v>759</v>
      </c>
      <c r="B40" s="18" t="s">
        <v>760</v>
      </c>
      <c r="C40" s="18" t="s">
        <v>3911</v>
      </c>
      <c r="D40" s="18" t="s">
        <v>2489</v>
      </c>
      <c r="E40" t="s">
        <v>2489</v>
      </c>
      <c r="F40" t="s">
        <v>2489</v>
      </c>
      <c r="G40" s="18" t="s">
        <v>2489</v>
      </c>
      <c r="H40" s="18" t="s">
        <v>2489</v>
      </c>
    </row>
    <row r="41" spans="1:8" x14ac:dyDescent="0.3">
      <c r="A41" s="18" t="s">
        <v>761</v>
      </c>
      <c r="B41" s="18" t="s">
        <v>762</v>
      </c>
      <c r="C41" s="18" t="s">
        <v>3911</v>
      </c>
      <c r="D41" s="18" t="s">
        <v>2489</v>
      </c>
      <c r="E41" t="s">
        <v>2489</v>
      </c>
      <c r="F41" t="s">
        <v>2489</v>
      </c>
      <c r="G41" s="18" t="s">
        <v>2489</v>
      </c>
      <c r="H41" s="18" t="s">
        <v>2489</v>
      </c>
    </row>
    <row r="42" spans="1:8" x14ac:dyDescent="0.3">
      <c r="A42" s="18" t="s">
        <v>763</v>
      </c>
      <c r="B42" s="18" t="s">
        <v>764</v>
      </c>
      <c r="C42" s="18" t="s">
        <v>3910</v>
      </c>
      <c r="D42" s="18" t="s">
        <v>1128</v>
      </c>
      <c r="E42" t="s">
        <v>1992</v>
      </c>
      <c r="F42" t="s">
        <v>2489</v>
      </c>
      <c r="G42" s="18" t="s">
        <v>2489</v>
      </c>
      <c r="H42" s="18" t="s">
        <v>2489</v>
      </c>
    </row>
    <row r="43" spans="1:8" x14ac:dyDescent="0.3">
      <c r="A43" s="18" t="s">
        <v>765</v>
      </c>
      <c r="B43" s="18" t="s">
        <v>766</v>
      </c>
      <c r="C43" s="18" t="s">
        <v>3910</v>
      </c>
      <c r="D43" s="18" t="s">
        <v>1133</v>
      </c>
      <c r="E43" t="s">
        <v>1997</v>
      </c>
      <c r="F43" t="s">
        <v>2489</v>
      </c>
      <c r="G43" s="18" t="s">
        <v>2489</v>
      </c>
      <c r="H43" s="18" t="s">
        <v>2489</v>
      </c>
    </row>
    <row r="44" spans="1:8" x14ac:dyDescent="0.3">
      <c r="A44" s="18" t="s">
        <v>767</v>
      </c>
      <c r="B44" s="18" t="s">
        <v>768</v>
      </c>
      <c r="C44" s="18" t="s">
        <v>3911</v>
      </c>
      <c r="D44" s="18" t="s">
        <v>2489</v>
      </c>
      <c r="E44" t="s">
        <v>2489</v>
      </c>
      <c r="F44" t="s">
        <v>2489</v>
      </c>
      <c r="G44" s="18" t="s">
        <v>2489</v>
      </c>
      <c r="H44" s="18" t="s">
        <v>2489</v>
      </c>
    </row>
    <row r="45" spans="1:8" x14ac:dyDescent="0.3">
      <c r="A45" s="18" t="s">
        <v>769</v>
      </c>
      <c r="B45" s="18" t="s">
        <v>770</v>
      </c>
      <c r="C45" s="18" t="s">
        <v>3911</v>
      </c>
      <c r="D45" s="18" t="s">
        <v>2489</v>
      </c>
      <c r="E45" t="s">
        <v>2489</v>
      </c>
      <c r="F45" t="s">
        <v>2489</v>
      </c>
      <c r="G45" s="18" t="s">
        <v>2489</v>
      </c>
      <c r="H45" s="18" t="s">
        <v>2489</v>
      </c>
    </row>
    <row r="46" spans="1:8" x14ac:dyDescent="0.3">
      <c r="A46" s="18" t="s">
        <v>771</v>
      </c>
      <c r="B46" s="18" t="s">
        <v>772</v>
      </c>
      <c r="C46" s="18" t="s">
        <v>3911</v>
      </c>
      <c r="D46" s="18" t="s">
        <v>2489</v>
      </c>
      <c r="E46" t="s">
        <v>2489</v>
      </c>
      <c r="F46" t="s">
        <v>2489</v>
      </c>
      <c r="G46" s="18" t="s">
        <v>2489</v>
      </c>
      <c r="H46" s="18" t="s">
        <v>2489</v>
      </c>
    </row>
    <row r="47" spans="1:8" x14ac:dyDescent="0.3">
      <c r="A47" s="18" t="s">
        <v>773</v>
      </c>
      <c r="B47" s="18" t="s">
        <v>774</v>
      </c>
      <c r="C47" s="18" t="s">
        <v>3911</v>
      </c>
      <c r="D47" s="18" t="s">
        <v>2489</v>
      </c>
      <c r="E47" t="s">
        <v>2489</v>
      </c>
      <c r="F47" t="s">
        <v>2489</v>
      </c>
      <c r="G47" s="18" t="s">
        <v>2489</v>
      </c>
      <c r="H47" s="18" t="s">
        <v>2489</v>
      </c>
    </row>
    <row r="48" spans="1:8" x14ac:dyDescent="0.3">
      <c r="A48" s="18" t="s">
        <v>775</v>
      </c>
      <c r="B48" s="18" t="s">
        <v>776</v>
      </c>
      <c r="C48" s="18" t="s">
        <v>3911</v>
      </c>
      <c r="D48" s="18" t="s">
        <v>2489</v>
      </c>
      <c r="E48" t="s">
        <v>2489</v>
      </c>
      <c r="F48" t="s">
        <v>2489</v>
      </c>
      <c r="G48" s="18" t="s">
        <v>2489</v>
      </c>
      <c r="H48" s="18" t="s">
        <v>2489</v>
      </c>
    </row>
    <row r="49" spans="1:8" x14ac:dyDescent="0.3">
      <c r="A49" s="18" t="s">
        <v>777</v>
      </c>
      <c r="B49" s="18" t="s">
        <v>778</v>
      </c>
      <c r="C49" s="18" t="s">
        <v>3911</v>
      </c>
      <c r="D49" s="18" t="s">
        <v>2489</v>
      </c>
      <c r="E49" t="s">
        <v>2489</v>
      </c>
      <c r="F49" t="s">
        <v>2489</v>
      </c>
      <c r="G49" s="18" t="s">
        <v>2489</v>
      </c>
      <c r="H49" s="18" t="s">
        <v>2489</v>
      </c>
    </row>
    <row r="50" spans="1:8" x14ac:dyDescent="0.3">
      <c r="A50" s="18" t="s">
        <v>779</v>
      </c>
      <c r="B50" s="18" t="s">
        <v>780</v>
      </c>
      <c r="C50" s="18" t="s">
        <v>3911</v>
      </c>
      <c r="D50" s="18" t="s">
        <v>2489</v>
      </c>
      <c r="E50" t="s">
        <v>2489</v>
      </c>
      <c r="F50" t="s">
        <v>2489</v>
      </c>
      <c r="G50" s="18" t="s">
        <v>2489</v>
      </c>
      <c r="H50" s="18" t="s">
        <v>2489</v>
      </c>
    </row>
    <row r="51" spans="1:8" x14ac:dyDescent="0.3">
      <c r="A51" s="18" t="s">
        <v>781</v>
      </c>
      <c r="B51" s="18" t="s">
        <v>782</v>
      </c>
      <c r="C51" s="18" t="s">
        <v>3911</v>
      </c>
      <c r="D51" s="18" t="s">
        <v>2489</v>
      </c>
      <c r="E51" t="s">
        <v>2489</v>
      </c>
      <c r="F51" t="s">
        <v>2489</v>
      </c>
      <c r="G51" s="18" t="s">
        <v>2489</v>
      </c>
      <c r="H51" s="18" t="s">
        <v>2489</v>
      </c>
    </row>
    <row r="52" spans="1:8" x14ac:dyDescent="0.3">
      <c r="A52" s="18" t="s">
        <v>783</v>
      </c>
      <c r="B52" s="18" t="s">
        <v>784</v>
      </c>
      <c r="C52" s="18" t="s">
        <v>3910</v>
      </c>
      <c r="D52" s="18" t="s">
        <v>1199</v>
      </c>
      <c r="E52" t="s">
        <v>2062</v>
      </c>
      <c r="F52" t="s">
        <v>2489</v>
      </c>
      <c r="G52" s="18" t="s">
        <v>2489</v>
      </c>
      <c r="H52" s="18" t="s">
        <v>2489</v>
      </c>
    </row>
    <row r="53" spans="1:8" x14ac:dyDescent="0.3">
      <c r="A53" s="18" t="s">
        <v>785</v>
      </c>
      <c r="B53" s="18" t="s">
        <v>786</v>
      </c>
      <c r="C53" s="18" t="s">
        <v>3911</v>
      </c>
      <c r="D53" s="18" t="s">
        <v>2489</v>
      </c>
      <c r="E53" t="s">
        <v>2489</v>
      </c>
      <c r="F53" t="s">
        <v>2489</v>
      </c>
      <c r="G53" s="18" t="s">
        <v>2489</v>
      </c>
      <c r="H53" s="18" t="s">
        <v>2489</v>
      </c>
    </row>
    <row r="54" spans="1:8" x14ac:dyDescent="0.3">
      <c r="A54" s="18" t="s">
        <v>787</v>
      </c>
      <c r="B54" s="18" t="s">
        <v>788</v>
      </c>
      <c r="C54" s="18" t="s">
        <v>3911</v>
      </c>
      <c r="D54" s="18" t="s">
        <v>2489</v>
      </c>
      <c r="E54" t="s">
        <v>2489</v>
      </c>
      <c r="F54" t="s">
        <v>2489</v>
      </c>
      <c r="G54" s="18" t="s">
        <v>2489</v>
      </c>
      <c r="H54" s="18" t="s">
        <v>2489</v>
      </c>
    </row>
    <row r="55" spans="1:8" x14ac:dyDescent="0.3">
      <c r="A55" s="18" t="s">
        <v>789</v>
      </c>
      <c r="B55" s="18" t="s">
        <v>790</v>
      </c>
      <c r="C55" s="18" t="s">
        <v>3910</v>
      </c>
      <c r="D55" s="18" t="s">
        <v>1223</v>
      </c>
      <c r="E55" t="s">
        <v>2082</v>
      </c>
      <c r="F55" t="s">
        <v>2489</v>
      </c>
      <c r="G55" s="18" t="s">
        <v>2489</v>
      </c>
      <c r="H55" s="18" t="s">
        <v>2489</v>
      </c>
    </row>
    <row r="56" spans="1:8" x14ac:dyDescent="0.3">
      <c r="A56" s="18" t="s">
        <v>791</v>
      </c>
      <c r="B56" s="18" t="s">
        <v>792</v>
      </c>
      <c r="C56" s="18" t="s">
        <v>3910</v>
      </c>
      <c r="D56" s="18" t="s">
        <v>1225</v>
      </c>
      <c r="E56" t="s">
        <v>2083</v>
      </c>
      <c r="F56" t="s">
        <v>2489</v>
      </c>
      <c r="G56" s="18" t="s">
        <v>2489</v>
      </c>
      <c r="H56" s="18" t="s">
        <v>2489</v>
      </c>
    </row>
    <row r="57" spans="1:8" x14ac:dyDescent="0.3">
      <c r="A57" s="18" t="s">
        <v>793</v>
      </c>
      <c r="B57" s="18" t="s">
        <v>794</v>
      </c>
      <c r="C57" s="18" t="s">
        <v>933</v>
      </c>
      <c r="D57" s="18" t="s">
        <v>2489</v>
      </c>
      <c r="E57" t="s">
        <v>2489</v>
      </c>
      <c r="F57" t="s">
        <v>2489</v>
      </c>
      <c r="G57" s="18" t="s">
        <v>2489</v>
      </c>
      <c r="H57" s="18" t="s">
        <v>2489</v>
      </c>
    </row>
    <row r="58" spans="1:8" x14ac:dyDescent="0.3">
      <c r="A58" s="18" t="s">
        <v>795</v>
      </c>
      <c r="B58" s="18" t="s">
        <v>796</v>
      </c>
      <c r="C58" s="18" t="s">
        <v>933</v>
      </c>
      <c r="D58" s="18" t="s">
        <v>2489</v>
      </c>
      <c r="E58" t="s">
        <v>2489</v>
      </c>
      <c r="F58" t="s">
        <v>2489</v>
      </c>
      <c r="G58" s="18" t="s">
        <v>2489</v>
      </c>
      <c r="H58" s="18" t="s">
        <v>2489</v>
      </c>
    </row>
    <row r="59" spans="1:8" x14ac:dyDescent="0.3">
      <c r="A59" s="18" t="s">
        <v>797</v>
      </c>
      <c r="B59" s="18" t="s">
        <v>798</v>
      </c>
      <c r="C59" s="18" t="s">
        <v>933</v>
      </c>
      <c r="D59" s="18" t="s">
        <v>2489</v>
      </c>
      <c r="E59" t="s">
        <v>2489</v>
      </c>
      <c r="F59" t="s">
        <v>2489</v>
      </c>
      <c r="G59" s="18" t="s">
        <v>2489</v>
      </c>
      <c r="H59" s="18" t="s">
        <v>2489</v>
      </c>
    </row>
    <row r="60" spans="1:8" x14ac:dyDescent="0.3">
      <c r="A60" s="18" t="s">
        <v>799</v>
      </c>
      <c r="B60" s="18" t="s">
        <v>800</v>
      </c>
      <c r="C60" s="18" t="s">
        <v>3911</v>
      </c>
      <c r="D60" s="18" t="s">
        <v>2489</v>
      </c>
      <c r="E60" t="s">
        <v>2489</v>
      </c>
      <c r="F60" t="s">
        <v>2489</v>
      </c>
      <c r="G60" s="18" t="s">
        <v>2489</v>
      </c>
      <c r="H60" s="18" t="s">
        <v>2489</v>
      </c>
    </row>
    <row r="61" spans="1:8" x14ac:dyDescent="0.3">
      <c r="A61" s="18" t="s">
        <v>801</v>
      </c>
      <c r="B61" s="18" t="s">
        <v>2495</v>
      </c>
      <c r="C61" s="18" t="s">
        <v>3911</v>
      </c>
      <c r="D61" s="18" t="s">
        <v>2489</v>
      </c>
      <c r="E61" t="s">
        <v>2489</v>
      </c>
      <c r="F61" t="s">
        <v>2489</v>
      </c>
      <c r="G61" s="18" t="s">
        <v>2489</v>
      </c>
      <c r="H61" s="18" t="s">
        <v>2489</v>
      </c>
    </row>
    <row r="62" spans="1:8" x14ac:dyDescent="0.3">
      <c r="A62" s="18" t="s">
        <v>804</v>
      </c>
      <c r="B62" s="18" t="s">
        <v>805</v>
      </c>
      <c r="C62" s="18" t="s">
        <v>3910</v>
      </c>
      <c r="D62" s="18" t="s">
        <v>1257</v>
      </c>
      <c r="E62" t="s">
        <v>2114</v>
      </c>
      <c r="F62" t="s">
        <v>2489</v>
      </c>
      <c r="G62" s="18" t="s">
        <v>2489</v>
      </c>
      <c r="H62" s="18" t="s">
        <v>2489</v>
      </c>
    </row>
    <row r="63" spans="1:8" x14ac:dyDescent="0.3">
      <c r="A63" s="18" t="s">
        <v>806</v>
      </c>
      <c r="B63" s="18" t="s">
        <v>3260</v>
      </c>
      <c r="C63" s="18" t="s">
        <v>3911</v>
      </c>
      <c r="D63" s="18" t="s">
        <v>2489</v>
      </c>
      <c r="E63" t="s">
        <v>2489</v>
      </c>
      <c r="F63" t="s">
        <v>2489</v>
      </c>
      <c r="G63" s="18" t="s">
        <v>2489</v>
      </c>
      <c r="H63" s="18" t="s">
        <v>2489</v>
      </c>
    </row>
    <row r="64" spans="1:8" x14ac:dyDescent="0.3">
      <c r="A64" s="18" t="s">
        <v>807</v>
      </c>
      <c r="B64" s="18" t="s">
        <v>3261</v>
      </c>
      <c r="C64" s="18" t="s">
        <v>3911</v>
      </c>
      <c r="D64" s="18" t="s">
        <v>2489</v>
      </c>
      <c r="E64" t="s">
        <v>2489</v>
      </c>
      <c r="F64" t="s">
        <v>2489</v>
      </c>
      <c r="G64" s="18" t="s">
        <v>2489</v>
      </c>
      <c r="H64" s="18" t="s">
        <v>2489</v>
      </c>
    </row>
    <row r="65" spans="1:8" x14ac:dyDescent="0.3">
      <c r="A65" s="18" t="s">
        <v>808</v>
      </c>
      <c r="B65" s="18" t="s">
        <v>3321</v>
      </c>
      <c r="C65" s="18" t="s">
        <v>3910</v>
      </c>
      <c r="D65" s="18" t="s">
        <v>1275</v>
      </c>
      <c r="E65" t="s">
        <v>2132</v>
      </c>
      <c r="F65" t="s">
        <v>2489</v>
      </c>
      <c r="G65" s="18" t="s">
        <v>2489</v>
      </c>
      <c r="H65" s="18" t="s">
        <v>2489</v>
      </c>
    </row>
    <row r="66" spans="1:8" x14ac:dyDescent="0.3">
      <c r="A66" s="18" t="s">
        <v>809</v>
      </c>
      <c r="B66" s="18" t="s">
        <v>3322</v>
      </c>
      <c r="C66" s="18" t="s">
        <v>3910</v>
      </c>
      <c r="D66" s="18" t="s">
        <v>1278</v>
      </c>
      <c r="E66" t="s">
        <v>2135</v>
      </c>
      <c r="F66" t="s">
        <v>2489</v>
      </c>
      <c r="G66" s="18" t="s">
        <v>2489</v>
      </c>
      <c r="H66" s="18" t="s">
        <v>2489</v>
      </c>
    </row>
    <row r="67" spans="1:8" x14ac:dyDescent="0.3">
      <c r="A67" s="18" t="s">
        <v>810</v>
      </c>
      <c r="B67" s="18" t="s">
        <v>3324</v>
      </c>
      <c r="C67" s="18" t="s">
        <v>3910</v>
      </c>
      <c r="D67" s="18" t="s">
        <v>1280</v>
      </c>
      <c r="E67" t="s">
        <v>2137</v>
      </c>
      <c r="F67" t="s">
        <v>2489</v>
      </c>
      <c r="G67" s="18" t="s">
        <v>2489</v>
      </c>
      <c r="H67" s="18" t="s">
        <v>2489</v>
      </c>
    </row>
    <row r="68" spans="1:8" x14ac:dyDescent="0.3">
      <c r="A68" s="18" t="s">
        <v>811</v>
      </c>
      <c r="B68" s="18" t="s">
        <v>812</v>
      </c>
      <c r="C68" s="18" t="s">
        <v>3911</v>
      </c>
      <c r="D68" s="18" t="s">
        <v>2489</v>
      </c>
      <c r="E68" t="s">
        <v>2489</v>
      </c>
      <c r="F68" t="s">
        <v>2489</v>
      </c>
      <c r="G68" s="18" t="s">
        <v>2489</v>
      </c>
      <c r="H68" s="18" t="s">
        <v>2489</v>
      </c>
    </row>
    <row r="69" spans="1:8" x14ac:dyDescent="0.3">
      <c r="A69" s="18" t="s">
        <v>813</v>
      </c>
      <c r="B69" s="18" t="s">
        <v>3325</v>
      </c>
      <c r="C69" s="18" t="s">
        <v>3911</v>
      </c>
      <c r="D69" s="18" t="s">
        <v>2489</v>
      </c>
      <c r="E69" t="s">
        <v>2489</v>
      </c>
      <c r="F69" t="s">
        <v>2489</v>
      </c>
      <c r="G69" s="18" t="s">
        <v>2489</v>
      </c>
      <c r="H69" s="18" t="s">
        <v>2489</v>
      </c>
    </row>
    <row r="70" spans="1:8" x14ac:dyDescent="0.3">
      <c r="A70" s="18" t="s">
        <v>814</v>
      </c>
      <c r="B70" s="18" t="s">
        <v>815</v>
      </c>
      <c r="C70" s="18" t="s">
        <v>3911</v>
      </c>
      <c r="D70" s="18" t="s">
        <v>2489</v>
      </c>
      <c r="E70" t="s">
        <v>2489</v>
      </c>
      <c r="F70" t="s">
        <v>2489</v>
      </c>
      <c r="G70" s="18" t="s">
        <v>2489</v>
      </c>
      <c r="H70" s="18" t="s">
        <v>2489</v>
      </c>
    </row>
    <row r="71" spans="1:8" x14ac:dyDescent="0.3">
      <c r="A71" s="18" t="s">
        <v>816</v>
      </c>
      <c r="B71" s="18" t="s">
        <v>2497</v>
      </c>
      <c r="C71" s="18" t="s">
        <v>3910</v>
      </c>
      <c r="D71" s="18" t="s">
        <v>1298</v>
      </c>
      <c r="E71" t="s">
        <v>2145</v>
      </c>
      <c r="F71" t="s">
        <v>2489</v>
      </c>
      <c r="G71" s="18" t="s">
        <v>2489</v>
      </c>
      <c r="H71" s="18" t="s">
        <v>2489</v>
      </c>
    </row>
    <row r="72" spans="1:8" x14ac:dyDescent="0.3">
      <c r="A72" s="18" t="s">
        <v>817</v>
      </c>
      <c r="B72" s="18" t="s">
        <v>818</v>
      </c>
      <c r="C72" s="18" t="s">
        <v>3911</v>
      </c>
      <c r="D72" s="18" t="s">
        <v>2489</v>
      </c>
      <c r="E72" t="s">
        <v>2489</v>
      </c>
      <c r="F72" t="s">
        <v>2489</v>
      </c>
      <c r="G72" s="18" t="s">
        <v>2489</v>
      </c>
      <c r="H72" s="18" t="s">
        <v>2489</v>
      </c>
    </row>
    <row r="73" spans="1:8" x14ac:dyDescent="0.3">
      <c r="A73" s="18" t="s">
        <v>819</v>
      </c>
      <c r="B73" s="18" t="s">
        <v>820</v>
      </c>
      <c r="C73" s="18" t="s">
        <v>3911</v>
      </c>
      <c r="D73" s="18" t="s">
        <v>2489</v>
      </c>
      <c r="E73" t="s">
        <v>2489</v>
      </c>
      <c r="F73" t="s">
        <v>2489</v>
      </c>
      <c r="G73" s="18" t="s">
        <v>2489</v>
      </c>
      <c r="H73" s="18" t="s">
        <v>2489</v>
      </c>
    </row>
    <row r="74" spans="1:8" x14ac:dyDescent="0.3">
      <c r="A74" s="18" t="s">
        <v>821</v>
      </c>
      <c r="B74" s="18" t="s">
        <v>3326</v>
      </c>
      <c r="C74" s="18" t="s">
        <v>3910</v>
      </c>
      <c r="D74" s="18" t="s">
        <v>1325</v>
      </c>
      <c r="E74" t="s">
        <v>3351</v>
      </c>
      <c r="F74" t="s">
        <v>2489</v>
      </c>
      <c r="G74" s="18" t="s">
        <v>2489</v>
      </c>
      <c r="H74" s="18" t="s">
        <v>2489</v>
      </c>
    </row>
    <row r="75" spans="1:8" x14ac:dyDescent="0.3">
      <c r="A75" s="18" t="s">
        <v>822</v>
      </c>
      <c r="B75" s="18" t="s">
        <v>823</v>
      </c>
      <c r="C75" s="18" t="s">
        <v>3911</v>
      </c>
      <c r="D75" s="18" t="s">
        <v>2489</v>
      </c>
      <c r="E75" t="s">
        <v>2489</v>
      </c>
      <c r="F75" t="s">
        <v>2489</v>
      </c>
      <c r="G75" s="18" t="s">
        <v>2489</v>
      </c>
      <c r="H75" s="18" t="s">
        <v>2489</v>
      </c>
    </row>
    <row r="76" spans="1:8" x14ac:dyDescent="0.3">
      <c r="A76" s="18" t="s">
        <v>824</v>
      </c>
      <c r="B76" s="18" t="s">
        <v>825</v>
      </c>
      <c r="C76" s="18" t="s">
        <v>3911</v>
      </c>
      <c r="D76" s="18" t="s">
        <v>2489</v>
      </c>
      <c r="E76" t="s">
        <v>2489</v>
      </c>
      <c r="F76" t="s">
        <v>2489</v>
      </c>
      <c r="G76" s="18" t="s">
        <v>2489</v>
      </c>
      <c r="H76" s="18" t="s">
        <v>2489</v>
      </c>
    </row>
    <row r="77" spans="1:8" x14ac:dyDescent="0.3">
      <c r="A77" s="18" t="s">
        <v>826</v>
      </c>
      <c r="B77" s="18" t="s">
        <v>3327</v>
      </c>
      <c r="C77" s="18" t="s">
        <v>3911</v>
      </c>
      <c r="D77" s="18" t="s">
        <v>2489</v>
      </c>
      <c r="E77" t="s">
        <v>2489</v>
      </c>
      <c r="F77" t="s">
        <v>2489</v>
      </c>
      <c r="G77" s="18" t="s">
        <v>2489</v>
      </c>
      <c r="H77" s="18" t="s">
        <v>2489</v>
      </c>
    </row>
    <row r="78" spans="1:8" x14ac:dyDescent="0.3">
      <c r="A78" s="18" t="s">
        <v>827</v>
      </c>
      <c r="B78" s="18" t="s">
        <v>3328</v>
      </c>
      <c r="C78" s="18" t="s">
        <v>3911</v>
      </c>
      <c r="D78" s="18" t="s">
        <v>2489</v>
      </c>
      <c r="E78" t="s">
        <v>2489</v>
      </c>
      <c r="F78" t="s">
        <v>2489</v>
      </c>
      <c r="G78" s="18" t="s">
        <v>2489</v>
      </c>
      <c r="H78" s="18" t="s">
        <v>2489</v>
      </c>
    </row>
    <row r="79" spans="1:8" x14ac:dyDescent="0.3">
      <c r="A79" s="18" t="s">
        <v>828</v>
      </c>
      <c r="B79" s="18" t="s">
        <v>829</v>
      </c>
      <c r="C79" s="18" t="s">
        <v>3911</v>
      </c>
      <c r="D79" s="18" t="s">
        <v>2489</v>
      </c>
      <c r="E79" t="s">
        <v>2489</v>
      </c>
      <c r="F79" t="s">
        <v>2489</v>
      </c>
      <c r="G79" s="18" t="s">
        <v>2489</v>
      </c>
      <c r="H79" s="18" t="s">
        <v>2489</v>
      </c>
    </row>
    <row r="80" spans="1:8" x14ac:dyDescent="0.3">
      <c r="A80" s="18" t="s">
        <v>830</v>
      </c>
      <c r="B80" s="18" t="s">
        <v>831</v>
      </c>
      <c r="C80" s="18" t="s">
        <v>3910</v>
      </c>
      <c r="D80" s="18" t="s">
        <v>1389</v>
      </c>
      <c r="E80" t="s">
        <v>2222</v>
      </c>
      <c r="F80" t="s">
        <v>2489</v>
      </c>
      <c r="G80" s="18" t="s">
        <v>2489</v>
      </c>
      <c r="H80" s="18" t="s">
        <v>2489</v>
      </c>
    </row>
    <row r="81" spans="1:8" x14ac:dyDescent="0.3">
      <c r="A81" s="18" t="s">
        <v>832</v>
      </c>
      <c r="B81" s="18" t="s">
        <v>833</v>
      </c>
      <c r="C81" s="18" t="s">
        <v>3911</v>
      </c>
      <c r="D81" s="18" t="s">
        <v>2489</v>
      </c>
      <c r="E81" t="s">
        <v>2489</v>
      </c>
      <c r="F81" t="s">
        <v>2489</v>
      </c>
      <c r="G81" s="18" t="s">
        <v>2489</v>
      </c>
      <c r="H81" s="18" t="s">
        <v>2489</v>
      </c>
    </row>
    <row r="82" spans="1:8" x14ac:dyDescent="0.3">
      <c r="A82" s="18" t="s">
        <v>834</v>
      </c>
      <c r="B82" s="18" t="s">
        <v>835</v>
      </c>
      <c r="C82" s="18" t="s">
        <v>3911</v>
      </c>
      <c r="D82" s="18" t="s">
        <v>2489</v>
      </c>
      <c r="E82" t="s">
        <v>2489</v>
      </c>
      <c r="F82" t="s">
        <v>2489</v>
      </c>
      <c r="G82" s="18" t="s">
        <v>2489</v>
      </c>
      <c r="H82" s="18" t="s">
        <v>2489</v>
      </c>
    </row>
    <row r="83" spans="1:8" x14ac:dyDescent="0.3">
      <c r="A83" s="18" t="s">
        <v>836</v>
      </c>
      <c r="B83" s="18" t="s">
        <v>837</v>
      </c>
      <c r="C83" s="18" t="s">
        <v>3911</v>
      </c>
      <c r="D83" s="18" t="s">
        <v>2489</v>
      </c>
      <c r="E83" t="s">
        <v>2489</v>
      </c>
      <c r="F83" t="s">
        <v>2489</v>
      </c>
      <c r="G83" s="18" t="s">
        <v>2489</v>
      </c>
      <c r="H83" s="18" t="s">
        <v>2489</v>
      </c>
    </row>
    <row r="84" spans="1:8" x14ac:dyDescent="0.3">
      <c r="A84" s="18" t="s">
        <v>838</v>
      </c>
      <c r="B84" s="18" t="s">
        <v>3330</v>
      </c>
      <c r="C84" s="18" t="s">
        <v>3911</v>
      </c>
      <c r="D84" s="18" t="s">
        <v>2489</v>
      </c>
      <c r="E84" t="s">
        <v>2489</v>
      </c>
      <c r="F84" t="s">
        <v>2489</v>
      </c>
      <c r="G84" s="18" t="s">
        <v>2489</v>
      </c>
      <c r="H84" s="18" t="s">
        <v>2489</v>
      </c>
    </row>
    <row r="85" spans="1:8" x14ac:dyDescent="0.3">
      <c r="A85" s="18" t="s">
        <v>839</v>
      </c>
      <c r="B85" s="18" t="s">
        <v>840</v>
      </c>
      <c r="C85" s="18" t="s">
        <v>3911</v>
      </c>
      <c r="D85" s="18" t="s">
        <v>2489</v>
      </c>
      <c r="E85" t="s">
        <v>2489</v>
      </c>
      <c r="F85" t="s">
        <v>2489</v>
      </c>
      <c r="G85" s="18" t="s">
        <v>2489</v>
      </c>
      <c r="H85" s="18" t="s">
        <v>2489</v>
      </c>
    </row>
    <row r="86" spans="1:8" x14ac:dyDescent="0.3">
      <c r="A86" s="18" t="s">
        <v>841</v>
      </c>
      <c r="B86" s="18" t="s">
        <v>842</v>
      </c>
      <c r="C86" s="18" t="s">
        <v>3911</v>
      </c>
      <c r="D86" s="18" t="s">
        <v>2489</v>
      </c>
      <c r="E86" t="s">
        <v>2489</v>
      </c>
      <c r="F86" t="s">
        <v>2489</v>
      </c>
      <c r="G86" s="18" t="s">
        <v>2489</v>
      </c>
      <c r="H86" s="18" t="s">
        <v>2489</v>
      </c>
    </row>
    <row r="87" spans="1:8" x14ac:dyDescent="0.3">
      <c r="A87" s="18" t="s">
        <v>843</v>
      </c>
      <c r="B87" s="18" t="s">
        <v>844</v>
      </c>
      <c r="C87" s="18" t="s">
        <v>3911</v>
      </c>
      <c r="D87" s="18" t="s">
        <v>2489</v>
      </c>
      <c r="E87" t="s">
        <v>2489</v>
      </c>
      <c r="F87" t="s">
        <v>2489</v>
      </c>
      <c r="G87" s="18" t="s">
        <v>2489</v>
      </c>
      <c r="H87" s="18" t="s">
        <v>2489</v>
      </c>
    </row>
    <row r="88" spans="1:8" x14ac:dyDescent="0.3">
      <c r="A88" s="18" t="s">
        <v>845</v>
      </c>
      <c r="B88" s="18" t="s">
        <v>846</v>
      </c>
      <c r="C88" s="18" t="s">
        <v>3911</v>
      </c>
      <c r="D88" s="18" t="s">
        <v>2489</v>
      </c>
      <c r="E88" t="s">
        <v>2489</v>
      </c>
      <c r="F88" t="s">
        <v>2489</v>
      </c>
      <c r="G88" s="18" t="s">
        <v>2489</v>
      </c>
      <c r="H88" s="18" t="s">
        <v>2489</v>
      </c>
    </row>
    <row r="89" spans="1:8" x14ac:dyDescent="0.3">
      <c r="A89" s="18" t="s">
        <v>847</v>
      </c>
      <c r="B89" s="18" t="s">
        <v>848</v>
      </c>
      <c r="C89" s="18" t="s">
        <v>3911</v>
      </c>
      <c r="D89" s="18" t="s">
        <v>2489</v>
      </c>
      <c r="E89" t="s">
        <v>2489</v>
      </c>
      <c r="F89" t="s">
        <v>2489</v>
      </c>
      <c r="G89" s="18" t="s">
        <v>2489</v>
      </c>
      <c r="H89" s="18" t="s">
        <v>2489</v>
      </c>
    </row>
    <row r="90" spans="1:8" x14ac:dyDescent="0.3">
      <c r="A90" s="18" t="s">
        <v>849</v>
      </c>
      <c r="B90" s="18" t="s">
        <v>850</v>
      </c>
      <c r="C90" s="18" t="s">
        <v>3911</v>
      </c>
      <c r="D90" s="18" t="s">
        <v>2489</v>
      </c>
      <c r="E90" t="s">
        <v>2489</v>
      </c>
      <c r="F90" t="s">
        <v>2489</v>
      </c>
      <c r="G90" s="18" t="s">
        <v>2489</v>
      </c>
      <c r="H90" s="18" t="s">
        <v>2489</v>
      </c>
    </row>
    <row r="91" spans="1:8" x14ac:dyDescent="0.3">
      <c r="A91" s="18" t="s">
        <v>852</v>
      </c>
      <c r="B91" s="18" t="s">
        <v>853</v>
      </c>
      <c r="C91" s="18" t="s">
        <v>3911</v>
      </c>
      <c r="D91" s="18" t="s">
        <v>2489</v>
      </c>
      <c r="E91" t="s">
        <v>2489</v>
      </c>
      <c r="F91" t="s">
        <v>2489</v>
      </c>
      <c r="G91" s="18" t="s">
        <v>2489</v>
      </c>
      <c r="H91" s="18" t="s">
        <v>2489</v>
      </c>
    </row>
    <row r="92" spans="1:8" x14ac:dyDescent="0.3">
      <c r="A92" s="18" t="s">
        <v>854</v>
      </c>
      <c r="B92" s="18" t="s">
        <v>855</v>
      </c>
      <c r="C92" s="18" t="s">
        <v>3911</v>
      </c>
      <c r="D92" s="18" t="s">
        <v>2489</v>
      </c>
      <c r="E92" t="s">
        <v>2489</v>
      </c>
      <c r="F92" t="s">
        <v>2489</v>
      </c>
      <c r="G92" s="18" t="s">
        <v>2489</v>
      </c>
      <c r="H92" s="18" t="s">
        <v>2489</v>
      </c>
    </row>
    <row r="93" spans="1:8" x14ac:dyDescent="0.3">
      <c r="A93" s="18" t="s">
        <v>856</v>
      </c>
      <c r="B93" s="18" t="s">
        <v>857</v>
      </c>
      <c r="C93" s="18" t="s">
        <v>3911</v>
      </c>
      <c r="D93" s="18" t="s">
        <v>2489</v>
      </c>
      <c r="E93" t="s">
        <v>2489</v>
      </c>
      <c r="F93" t="s">
        <v>2489</v>
      </c>
      <c r="G93" s="18" t="s">
        <v>2489</v>
      </c>
      <c r="H93" s="18" t="s">
        <v>2489</v>
      </c>
    </row>
    <row r="94" spans="1:8" x14ac:dyDescent="0.3">
      <c r="A94" s="18" t="s">
        <v>858</v>
      </c>
      <c r="B94" s="18" t="s">
        <v>859</v>
      </c>
      <c r="C94" s="18" t="s">
        <v>3911</v>
      </c>
      <c r="D94" s="18" t="s">
        <v>2489</v>
      </c>
      <c r="E94" t="s">
        <v>2489</v>
      </c>
      <c r="F94" t="s">
        <v>2489</v>
      </c>
      <c r="G94" s="18" t="s">
        <v>2489</v>
      </c>
      <c r="H94" s="18" t="s">
        <v>2489</v>
      </c>
    </row>
    <row r="95" spans="1:8" x14ac:dyDescent="0.3">
      <c r="A95" s="18" t="s">
        <v>860</v>
      </c>
      <c r="B95" s="18" t="s">
        <v>3262</v>
      </c>
      <c r="C95" s="18" t="s">
        <v>3911</v>
      </c>
      <c r="D95" s="18" t="s">
        <v>2489</v>
      </c>
      <c r="E95" t="s">
        <v>2489</v>
      </c>
      <c r="F95" t="s">
        <v>2489</v>
      </c>
      <c r="G95" s="18" t="s">
        <v>2489</v>
      </c>
      <c r="H95" s="18" t="s">
        <v>2489</v>
      </c>
    </row>
    <row r="96" spans="1:8" x14ac:dyDescent="0.3">
      <c r="A96" s="18" t="s">
        <v>861</v>
      </c>
      <c r="B96" s="18" t="s">
        <v>862</v>
      </c>
      <c r="C96" s="18" t="s">
        <v>3911</v>
      </c>
      <c r="D96" s="18" t="s">
        <v>2489</v>
      </c>
      <c r="E96" t="s">
        <v>2489</v>
      </c>
      <c r="F96" t="s">
        <v>2489</v>
      </c>
      <c r="G96" s="18" t="s">
        <v>2489</v>
      </c>
      <c r="H96" s="18" t="s">
        <v>2489</v>
      </c>
    </row>
    <row r="97" spans="1:8" x14ac:dyDescent="0.3">
      <c r="A97" s="18" t="s">
        <v>863</v>
      </c>
      <c r="B97" s="18" t="s">
        <v>864</v>
      </c>
      <c r="C97" s="18" t="s">
        <v>3911</v>
      </c>
      <c r="D97" s="18" t="s">
        <v>2489</v>
      </c>
      <c r="E97" t="s">
        <v>2489</v>
      </c>
      <c r="F97" t="s">
        <v>2489</v>
      </c>
      <c r="G97" s="18" t="s">
        <v>2489</v>
      </c>
      <c r="H97" s="18" t="s">
        <v>2489</v>
      </c>
    </row>
    <row r="98" spans="1:8" x14ac:dyDescent="0.3">
      <c r="A98" s="18" t="s">
        <v>865</v>
      </c>
      <c r="B98" s="18" t="s">
        <v>866</v>
      </c>
      <c r="C98" s="18" t="s">
        <v>3911</v>
      </c>
      <c r="D98" s="18" t="s">
        <v>2489</v>
      </c>
      <c r="E98" t="s">
        <v>2489</v>
      </c>
      <c r="F98" t="s">
        <v>2489</v>
      </c>
      <c r="G98" s="18" t="s">
        <v>2489</v>
      </c>
      <c r="H98" s="18" t="s">
        <v>2489</v>
      </c>
    </row>
    <row r="99" spans="1:8" x14ac:dyDescent="0.3">
      <c r="A99" s="18" t="s">
        <v>867</v>
      </c>
      <c r="B99" s="18" t="s">
        <v>868</v>
      </c>
      <c r="C99" s="18" t="s">
        <v>3911</v>
      </c>
      <c r="D99" s="18" t="s">
        <v>2489</v>
      </c>
      <c r="E99" t="s">
        <v>2489</v>
      </c>
      <c r="F99" t="s">
        <v>2489</v>
      </c>
      <c r="G99" s="18" t="s">
        <v>2489</v>
      </c>
      <c r="H99" s="18" t="s">
        <v>2489</v>
      </c>
    </row>
    <row r="100" spans="1:8" x14ac:dyDescent="0.3">
      <c r="A100" s="18" t="s">
        <v>869</v>
      </c>
      <c r="B100" s="18" t="s">
        <v>870</v>
      </c>
      <c r="C100" s="18" t="s">
        <v>3911</v>
      </c>
      <c r="D100" s="18" t="s">
        <v>2489</v>
      </c>
      <c r="E100" t="s">
        <v>2489</v>
      </c>
      <c r="F100" t="s">
        <v>2489</v>
      </c>
      <c r="G100" s="18" t="s">
        <v>2489</v>
      </c>
      <c r="H100" s="18" t="s">
        <v>2489</v>
      </c>
    </row>
    <row r="101" spans="1:8" x14ac:dyDescent="0.3">
      <c r="A101" s="18" t="s">
        <v>871</v>
      </c>
      <c r="B101" s="18" t="s">
        <v>3331</v>
      </c>
      <c r="C101" s="18" t="s">
        <v>933</v>
      </c>
      <c r="D101" s="18" t="s">
        <v>2489</v>
      </c>
      <c r="E101" t="s">
        <v>2489</v>
      </c>
      <c r="F101" t="s">
        <v>2489</v>
      </c>
      <c r="G101" s="18" t="s">
        <v>2489</v>
      </c>
      <c r="H101" s="18" t="s">
        <v>2489</v>
      </c>
    </row>
    <row r="102" spans="1:8" x14ac:dyDescent="0.3">
      <c r="A102" s="18" t="s">
        <v>873</v>
      </c>
      <c r="B102" s="18" t="s">
        <v>872</v>
      </c>
      <c r="C102" s="18" t="s">
        <v>3911</v>
      </c>
      <c r="D102" s="18" t="s">
        <v>2489</v>
      </c>
      <c r="E102" t="s">
        <v>2489</v>
      </c>
      <c r="F102" t="s">
        <v>2489</v>
      </c>
      <c r="G102" s="18" t="s">
        <v>2489</v>
      </c>
      <c r="H102" s="18" t="s">
        <v>2489</v>
      </c>
    </row>
    <row r="103" spans="1:8" x14ac:dyDescent="0.3">
      <c r="A103" s="18" t="s">
        <v>875</v>
      </c>
      <c r="B103" s="18" t="s">
        <v>874</v>
      </c>
      <c r="C103" s="18" t="s">
        <v>3911</v>
      </c>
      <c r="D103" s="18" t="s">
        <v>2489</v>
      </c>
      <c r="E103" t="s">
        <v>2489</v>
      </c>
      <c r="F103" t="s">
        <v>2489</v>
      </c>
      <c r="G103" s="18" t="s">
        <v>2489</v>
      </c>
      <c r="H103" s="18" t="s">
        <v>2489</v>
      </c>
    </row>
    <row r="104" spans="1:8" x14ac:dyDescent="0.3">
      <c r="A104" s="18" t="s">
        <v>877</v>
      </c>
      <c r="B104" s="18" t="s">
        <v>876</v>
      </c>
      <c r="C104" s="18" t="s">
        <v>3911</v>
      </c>
      <c r="D104" s="18" t="s">
        <v>2489</v>
      </c>
      <c r="E104" t="s">
        <v>2489</v>
      </c>
      <c r="F104" t="s">
        <v>2489</v>
      </c>
      <c r="G104" s="18" t="s">
        <v>2489</v>
      </c>
      <c r="H104" s="18" t="s">
        <v>2489</v>
      </c>
    </row>
    <row r="105" spans="1:8" x14ac:dyDescent="0.3">
      <c r="A105" s="18" t="s">
        <v>879</v>
      </c>
      <c r="B105" s="18" t="s">
        <v>878</v>
      </c>
      <c r="C105" s="18" t="s">
        <v>3911</v>
      </c>
      <c r="D105" s="18" t="s">
        <v>2489</v>
      </c>
      <c r="E105" t="s">
        <v>2489</v>
      </c>
      <c r="F105" t="s">
        <v>2489</v>
      </c>
      <c r="G105" s="18" t="s">
        <v>2489</v>
      </c>
      <c r="H105" s="18" t="s">
        <v>2489</v>
      </c>
    </row>
    <row r="106" spans="1:8" x14ac:dyDescent="0.3">
      <c r="A106" s="18" t="s">
        <v>881</v>
      </c>
      <c r="B106" s="18" t="s">
        <v>880</v>
      </c>
      <c r="C106" s="18" t="s">
        <v>3911</v>
      </c>
      <c r="D106" s="18" t="s">
        <v>2489</v>
      </c>
      <c r="E106" t="s">
        <v>2489</v>
      </c>
      <c r="F106" t="s">
        <v>2489</v>
      </c>
      <c r="G106" s="18" t="s">
        <v>2489</v>
      </c>
      <c r="H106" s="18" t="s">
        <v>2489</v>
      </c>
    </row>
    <row r="107" spans="1:8" x14ac:dyDescent="0.3">
      <c r="A107" s="18" t="s">
        <v>883</v>
      </c>
      <c r="B107" s="18" t="s">
        <v>882</v>
      </c>
      <c r="C107" s="18" t="s">
        <v>3911</v>
      </c>
      <c r="D107" s="18" t="s">
        <v>2489</v>
      </c>
      <c r="E107" t="s">
        <v>2489</v>
      </c>
      <c r="F107" t="s">
        <v>2489</v>
      </c>
      <c r="G107" s="18" t="s">
        <v>2489</v>
      </c>
      <c r="H107" s="18" t="s">
        <v>2489</v>
      </c>
    </row>
    <row r="108" spans="1:8" x14ac:dyDescent="0.3">
      <c r="A108" s="18" t="s">
        <v>885</v>
      </c>
      <c r="B108" s="18" t="s">
        <v>884</v>
      </c>
      <c r="C108" s="18" t="s">
        <v>3911</v>
      </c>
      <c r="D108" s="18" t="s">
        <v>2489</v>
      </c>
      <c r="E108" t="s">
        <v>2489</v>
      </c>
      <c r="F108" t="s">
        <v>2489</v>
      </c>
      <c r="G108" s="18" t="s">
        <v>2489</v>
      </c>
      <c r="H108" s="18" t="s">
        <v>2489</v>
      </c>
    </row>
    <row r="109" spans="1:8" x14ac:dyDescent="0.3">
      <c r="A109" s="18" t="s">
        <v>887</v>
      </c>
      <c r="B109" s="18" t="s">
        <v>886</v>
      </c>
      <c r="C109" s="18" t="s">
        <v>3911</v>
      </c>
      <c r="D109" s="18" t="s">
        <v>2489</v>
      </c>
      <c r="E109" t="s">
        <v>2489</v>
      </c>
      <c r="F109" t="s">
        <v>2489</v>
      </c>
      <c r="G109" s="18" t="s">
        <v>2489</v>
      </c>
      <c r="H109" s="18" t="s">
        <v>2489</v>
      </c>
    </row>
    <row r="110" spans="1:8" x14ac:dyDescent="0.3">
      <c r="A110" s="18" t="s">
        <v>889</v>
      </c>
      <c r="B110" s="18" t="s">
        <v>888</v>
      </c>
      <c r="C110" s="18" t="s">
        <v>3911</v>
      </c>
      <c r="D110" s="18" t="s">
        <v>2489</v>
      </c>
      <c r="E110" t="s">
        <v>2489</v>
      </c>
      <c r="F110" t="s">
        <v>2489</v>
      </c>
      <c r="G110" s="18" t="s">
        <v>2489</v>
      </c>
      <c r="H110" s="18" t="s">
        <v>2489</v>
      </c>
    </row>
    <row r="111" spans="1:8" x14ac:dyDescent="0.3">
      <c r="A111" s="18" t="s">
        <v>891</v>
      </c>
      <c r="B111" s="18" t="s">
        <v>890</v>
      </c>
      <c r="C111" s="18" t="s">
        <v>3911</v>
      </c>
      <c r="D111" s="18" t="s">
        <v>2489</v>
      </c>
      <c r="E111" t="s">
        <v>2489</v>
      </c>
      <c r="F111" t="s">
        <v>2489</v>
      </c>
      <c r="G111" s="18" t="s">
        <v>2489</v>
      </c>
      <c r="H111" s="18" t="s">
        <v>2489</v>
      </c>
    </row>
    <row r="112" spans="1:8" x14ac:dyDescent="0.3">
      <c r="A112" s="18" t="s">
        <v>893</v>
      </c>
      <c r="B112" s="18" t="s">
        <v>892</v>
      </c>
      <c r="C112" s="18" t="s">
        <v>3911</v>
      </c>
      <c r="D112" s="18" t="s">
        <v>2489</v>
      </c>
      <c r="E112" t="s">
        <v>2489</v>
      </c>
      <c r="F112" t="s">
        <v>2489</v>
      </c>
      <c r="G112" s="18" t="s">
        <v>2489</v>
      </c>
      <c r="H112" s="18" t="s">
        <v>2489</v>
      </c>
    </row>
    <row r="113" spans="1:8" x14ac:dyDescent="0.3">
      <c r="A113" s="18" t="s">
        <v>895</v>
      </c>
      <c r="B113" s="18" t="s">
        <v>894</v>
      </c>
      <c r="C113" s="18" t="s">
        <v>3911</v>
      </c>
      <c r="D113" s="18" t="s">
        <v>2489</v>
      </c>
      <c r="E113" t="s">
        <v>2489</v>
      </c>
      <c r="F113" t="s">
        <v>2489</v>
      </c>
      <c r="G113" s="18" t="s">
        <v>2489</v>
      </c>
      <c r="H113" s="18" t="s">
        <v>2489</v>
      </c>
    </row>
    <row r="114" spans="1:8" x14ac:dyDescent="0.3">
      <c r="A114" s="18" t="s">
        <v>897</v>
      </c>
      <c r="B114" s="18" t="s">
        <v>896</v>
      </c>
      <c r="C114" s="18" t="s">
        <v>3911</v>
      </c>
      <c r="D114" s="18" t="s">
        <v>2489</v>
      </c>
      <c r="E114" t="s">
        <v>2489</v>
      </c>
      <c r="F114" t="s">
        <v>2489</v>
      </c>
      <c r="G114" s="18" t="s">
        <v>2489</v>
      </c>
      <c r="H114" s="18" t="s">
        <v>2489</v>
      </c>
    </row>
    <row r="115" spans="1:8" x14ac:dyDescent="0.3">
      <c r="A115" s="18" t="s">
        <v>899</v>
      </c>
      <c r="B115" s="18" t="s">
        <v>898</v>
      </c>
      <c r="C115" s="18" t="s">
        <v>3911</v>
      </c>
      <c r="D115" s="18" t="s">
        <v>2489</v>
      </c>
      <c r="E115" t="s">
        <v>2489</v>
      </c>
      <c r="F115" t="s">
        <v>2489</v>
      </c>
      <c r="G115" s="18" t="s">
        <v>2489</v>
      </c>
      <c r="H115" s="18" t="s">
        <v>2489</v>
      </c>
    </row>
    <row r="116" spans="1:8" x14ac:dyDescent="0.3">
      <c r="A116" s="18" t="s">
        <v>901</v>
      </c>
      <c r="B116" s="18" t="s">
        <v>900</v>
      </c>
      <c r="C116" s="18" t="s">
        <v>3911</v>
      </c>
      <c r="D116" s="18" t="s">
        <v>2489</v>
      </c>
      <c r="E116" t="s">
        <v>2489</v>
      </c>
      <c r="F116" t="s">
        <v>2489</v>
      </c>
      <c r="G116" s="18" t="s">
        <v>2489</v>
      </c>
      <c r="H116" s="18" t="s">
        <v>2489</v>
      </c>
    </row>
    <row r="117" spans="1:8" x14ac:dyDescent="0.3">
      <c r="A117" s="18" t="s">
        <v>3332</v>
      </c>
      <c r="B117" s="18" t="s">
        <v>902</v>
      </c>
      <c r="C117" s="18" t="s">
        <v>3911</v>
      </c>
      <c r="D117" s="18" t="s">
        <v>2489</v>
      </c>
      <c r="E117" t="s">
        <v>2489</v>
      </c>
      <c r="F117" t="s">
        <v>2489</v>
      </c>
      <c r="G117" s="18" t="s">
        <v>2489</v>
      </c>
      <c r="H117" s="18" t="s">
        <v>2489</v>
      </c>
    </row>
    <row r="118" spans="1:8" x14ac:dyDescent="0.3">
      <c r="A118" s="18" t="s">
        <v>903</v>
      </c>
      <c r="B118" s="18" t="s">
        <v>904</v>
      </c>
      <c r="C118" s="18" t="s">
        <v>3910</v>
      </c>
      <c r="D118" s="18" t="s">
        <v>1685</v>
      </c>
      <c r="E118" t="s">
        <v>2406</v>
      </c>
      <c r="F118" t="s">
        <v>2489</v>
      </c>
      <c r="G118" s="18" t="s">
        <v>2489</v>
      </c>
      <c r="H118" s="18" t="s">
        <v>2489</v>
      </c>
    </row>
    <row r="119" spans="1:8" x14ac:dyDescent="0.3">
      <c r="A119" s="18" t="s">
        <v>905</v>
      </c>
      <c r="B119" s="18" t="s">
        <v>906</v>
      </c>
      <c r="C119" s="18" t="s">
        <v>3911</v>
      </c>
      <c r="D119" s="18" t="s">
        <v>2489</v>
      </c>
      <c r="E119" t="s">
        <v>2489</v>
      </c>
      <c r="F119" t="s">
        <v>2489</v>
      </c>
      <c r="G119" s="18" t="s">
        <v>2489</v>
      </c>
      <c r="H119" s="18" t="s">
        <v>2489</v>
      </c>
    </row>
    <row r="120" spans="1:8" x14ac:dyDescent="0.3">
      <c r="A120" s="18" t="s">
        <v>907</v>
      </c>
      <c r="B120" s="18" t="s">
        <v>908</v>
      </c>
      <c r="C120" s="18" t="s">
        <v>3911</v>
      </c>
      <c r="D120" s="18" t="s">
        <v>2489</v>
      </c>
      <c r="E120" t="s">
        <v>2489</v>
      </c>
      <c r="F120" t="s">
        <v>2489</v>
      </c>
      <c r="G120" s="18" t="s">
        <v>2489</v>
      </c>
      <c r="H120" s="18" t="s">
        <v>2489</v>
      </c>
    </row>
    <row r="121" spans="1:8" x14ac:dyDescent="0.3">
      <c r="A121" s="18" t="s">
        <v>909</v>
      </c>
      <c r="B121" s="18" t="s">
        <v>910</v>
      </c>
      <c r="C121" s="18" t="s">
        <v>3910</v>
      </c>
      <c r="D121" s="18" t="s">
        <v>1729</v>
      </c>
      <c r="E121" t="s">
        <v>2449</v>
      </c>
      <c r="F121" t="s">
        <v>2489</v>
      </c>
      <c r="G121" s="18" t="s">
        <v>2489</v>
      </c>
      <c r="H121" s="18" t="s">
        <v>2489</v>
      </c>
    </row>
    <row r="122" spans="1:8" x14ac:dyDescent="0.3">
      <c r="A122" s="18" t="s">
        <v>911</v>
      </c>
      <c r="B122" s="18" t="s">
        <v>912</v>
      </c>
      <c r="C122" s="18" t="s">
        <v>3910</v>
      </c>
      <c r="D122" s="18" t="s">
        <v>1733</v>
      </c>
      <c r="E122" t="s">
        <v>2453</v>
      </c>
      <c r="F122" t="s">
        <v>2489</v>
      </c>
      <c r="G122" s="18" t="s">
        <v>2489</v>
      </c>
      <c r="H122" s="18" t="s">
        <v>2489</v>
      </c>
    </row>
    <row r="123" spans="1:8" x14ac:dyDescent="0.3">
      <c r="A123" s="18" t="s">
        <v>913</v>
      </c>
      <c r="B123" s="18" t="s">
        <v>914</v>
      </c>
      <c r="C123" s="18" t="s">
        <v>3910</v>
      </c>
      <c r="D123" s="18" t="s">
        <v>1735</v>
      </c>
      <c r="E123" t="s">
        <v>2455</v>
      </c>
      <c r="F123" t="s">
        <v>2489</v>
      </c>
      <c r="G123" s="18" t="s">
        <v>2489</v>
      </c>
      <c r="H123" s="18" t="s">
        <v>2489</v>
      </c>
    </row>
    <row r="124" spans="1:8" x14ac:dyDescent="0.3">
      <c r="A124" s="18" t="s">
        <v>915</v>
      </c>
      <c r="B124" s="18" t="s">
        <v>916</v>
      </c>
      <c r="C124" s="18" t="s">
        <v>3910</v>
      </c>
      <c r="D124" s="18" t="s">
        <v>1746</v>
      </c>
      <c r="E124" t="s">
        <v>2466</v>
      </c>
      <c r="F124" t="s">
        <v>2489</v>
      </c>
      <c r="G124" s="18" t="s">
        <v>2489</v>
      </c>
      <c r="H124" s="18" t="s">
        <v>2489</v>
      </c>
    </row>
    <row r="125" spans="1:8" x14ac:dyDescent="0.3">
      <c r="A125" s="18" t="s">
        <v>917</v>
      </c>
      <c r="B125" s="18" t="s">
        <v>918</v>
      </c>
      <c r="C125" s="18" t="s">
        <v>3911</v>
      </c>
      <c r="D125" s="18" t="s">
        <v>2489</v>
      </c>
      <c r="E125" t="s">
        <v>2489</v>
      </c>
      <c r="F125" t="s">
        <v>2489</v>
      </c>
      <c r="G125" s="18" t="s">
        <v>2489</v>
      </c>
      <c r="H125" s="18" t="s">
        <v>2489</v>
      </c>
    </row>
    <row r="126" spans="1:8" x14ac:dyDescent="0.3">
      <c r="A126" s="18" t="s">
        <v>919</v>
      </c>
      <c r="B126" s="18" t="s">
        <v>920</v>
      </c>
      <c r="C126" s="18" t="s">
        <v>3911</v>
      </c>
      <c r="D126" s="18" t="s">
        <v>2489</v>
      </c>
      <c r="E126" t="s">
        <v>2489</v>
      </c>
      <c r="F126" t="s">
        <v>2489</v>
      </c>
      <c r="G126" s="18" t="s">
        <v>2489</v>
      </c>
      <c r="H126" s="18" t="s">
        <v>2489</v>
      </c>
    </row>
    <row r="127" spans="1:8" x14ac:dyDescent="0.3">
      <c r="A127" s="18" t="s">
        <v>921</v>
      </c>
      <c r="B127" s="18" t="s">
        <v>922</v>
      </c>
      <c r="C127" s="18" t="s">
        <v>3911</v>
      </c>
      <c r="D127" s="18" t="s">
        <v>2489</v>
      </c>
      <c r="E127" t="s">
        <v>2489</v>
      </c>
      <c r="F127" t="s">
        <v>2489</v>
      </c>
      <c r="G127" s="18" t="s">
        <v>2489</v>
      </c>
      <c r="H127" s="18" t="s">
        <v>2489</v>
      </c>
    </row>
    <row r="128" spans="1:8" x14ac:dyDescent="0.3">
      <c r="A128" s="18" t="s">
        <v>923</v>
      </c>
      <c r="B128" s="18" t="s">
        <v>3077</v>
      </c>
      <c r="C128" s="18" t="s">
        <v>3911</v>
      </c>
      <c r="D128" s="18" t="s">
        <v>2489</v>
      </c>
      <c r="E128" t="s">
        <v>2489</v>
      </c>
      <c r="F128" t="s">
        <v>2489</v>
      </c>
      <c r="G128" s="18" t="s">
        <v>2489</v>
      </c>
      <c r="H128" s="18" t="s">
        <v>2489</v>
      </c>
    </row>
    <row r="129" spans="1:8" x14ac:dyDescent="0.3">
      <c r="A129" s="18" t="s">
        <v>924</v>
      </c>
      <c r="B129" s="18" t="s">
        <v>925</v>
      </c>
      <c r="C129" s="18" t="s">
        <v>3910</v>
      </c>
      <c r="D129" s="18" t="s">
        <v>1766</v>
      </c>
      <c r="E129" t="s">
        <v>2484</v>
      </c>
      <c r="F129" t="s">
        <v>2489</v>
      </c>
      <c r="G129" s="18" t="s">
        <v>2489</v>
      </c>
      <c r="H129" s="18" t="s">
        <v>2489</v>
      </c>
    </row>
    <row r="130" spans="1:8" x14ac:dyDescent="0.3">
      <c r="A130" s="18" t="s">
        <v>926</v>
      </c>
      <c r="B130" s="18" t="s">
        <v>927</v>
      </c>
      <c r="C130" s="18" t="s">
        <v>3910</v>
      </c>
      <c r="D130" s="18" t="s">
        <v>1770</v>
      </c>
      <c r="E130" t="s">
        <v>2488</v>
      </c>
      <c r="F130" t="s">
        <v>2489</v>
      </c>
      <c r="G130" s="18" t="s">
        <v>2489</v>
      </c>
      <c r="H130" s="18" t="s">
        <v>2489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I131"/>
  <sheetViews>
    <sheetView tabSelected="1" topLeftCell="C1" zoomScale="85" zoomScaleNormal="85" workbookViewId="0">
      <selection activeCell="J1" sqref="J1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928</v>
      </c>
      <c r="B1" s="1" t="s">
        <v>697</v>
      </c>
      <c r="C1" s="1" t="s">
        <v>932</v>
      </c>
      <c r="D1" s="2" t="s">
        <v>936</v>
      </c>
      <c r="E1" s="1" t="s">
        <v>930</v>
      </c>
      <c r="F1" s="1" t="s">
        <v>931</v>
      </c>
      <c r="G1" s="1" t="s">
        <v>698</v>
      </c>
      <c r="H1" s="1" t="s">
        <v>934</v>
      </c>
      <c r="I1" s="2" t="s">
        <v>935</v>
      </c>
    </row>
    <row r="2" spans="1:9" ht="30" customHeight="1" x14ac:dyDescent="0.3">
      <c r="A2" s="9" t="s">
        <v>699</v>
      </c>
      <c r="B2" s="10" t="str">
        <f>VLOOKUP(InputForm[[#This Row],[feature_id]],features[],3,FALSE)</f>
        <v>Количество подъемов гласных</v>
      </c>
      <c r="C2" s="3" t="s">
        <v>3910</v>
      </c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>A-1-2</v>
      </c>
      <c r="E2" s="4" t="s">
        <v>1892</v>
      </c>
      <c r="F2" s="4" t="s">
        <v>2489</v>
      </c>
      <c r="G2" s="4" t="s">
        <v>3913</v>
      </c>
      <c r="H2" s="4"/>
      <c r="I2" s="5">
        <v>54</v>
      </c>
    </row>
    <row r="3" spans="1:9" s="17" customFormat="1" ht="6" customHeight="1" x14ac:dyDescent="0.3">
      <c r="A3" s="12" t="s">
        <v>700</v>
      </c>
      <c r="B3" s="13" t="str">
        <f>VLOOKUP(InputForm[[#This Row],[feature_id]],features[],3,FALSE)</f>
        <v>Подъемы гласных</v>
      </c>
      <c r="C3" s="14" t="s">
        <v>3910</v>
      </c>
      <c r="D3" s="12" t="str">
        <f>IFERROR(LEFT(InputForm[[#This Row],[Значение из списка (тип значения listed)]], SEARCH(":", InputForm[[#This Row],[Значение из списка (тип значения listed)]]) - 1), "")</f>
        <v>A-2-3</v>
      </c>
      <c r="E3" s="15" t="s">
        <v>1896</v>
      </c>
      <c r="F3" s="15" t="s">
        <v>2489</v>
      </c>
      <c r="G3" s="15" t="s">
        <v>2489</v>
      </c>
      <c r="H3" s="15"/>
      <c r="I3" s="16"/>
    </row>
    <row r="4" spans="1:9" s="17" customFormat="1" ht="6" customHeight="1" x14ac:dyDescent="0.3">
      <c r="A4" s="12" t="s">
        <v>702</v>
      </c>
      <c r="B4" s="13" t="str">
        <f>VLOOKUP(InputForm[[#This Row],[feature_id]],features[],3,FALSE)</f>
        <v>Противопоставление по открытости/закрытости в подъемах гласных</v>
      </c>
      <c r="C4" s="14" t="s">
        <v>3911</v>
      </c>
      <c r="D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15" t="s">
        <v>2489</v>
      </c>
      <c r="F4" s="15" t="s">
        <v>2489</v>
      </c>
      <c r="G4" s="15" t="s">
        <v>2489</v>
      </c>
      <c r="H4" s="15"/>
      <c r="I4" s="16"/>
    </row>
    <row r="5" spans="1:9" ht="30" customHeight="1" x14ac:dyDescent="0.3">
      <c r="A5" s="9" t="s">
        <v>704</v>
      </c>
      <c r="B5" s="11" t="str">
        <f>VLOOKUP(InputForm[[#This Row],[feature_id]],features[],3,FALSE)</f>
        <v>Ряды гласных</v>
      </c>
      <c r="C5" s="3" t="s">
        <v>3910</v>
      </c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>A-4-3</v>
      </c>
      <c r="E5" s="3" t="s">
        <v>3625</v>
      </c>
      <c r="F5" s="3" t="s">
        <v>2489</v>
      </c>
      <c r="G5" s="4" t="s">
        <v>3913</v>
      </c>
      <c r="H5" s="3"/>
      <c r="I5" s="5">
        <v>54</v>
      </c>
    </row>
    <row r="6" spans="1:9" ht="30" customHeight="1" x14ac:dyDescent="0.3">
      <c r="A6" s="9" t="s">
        <v>706</v>
      </c>
      <c r="B6" s="11" t="str">
        <f>VLOOKUP(InputForm[[#This Row],[feature_id]],features[],3,FALSE)</f>
        <v>Наличие фонологических ступеней долготы</v>
      </c>
      <c r="C6" s="3" t="s">
        <v>3910</v>
      </c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>A-5-2</v>
      </c>
      <c r="E6" s="3" t="s">
        <v>3628</v>
      </c>
      <c r="F6" s="3" t="s">
        <v>2489</v>
      </c>
      <c r="G6" s="4"/>
      <c r="H6" s="3"/>
      <c r="I6" s="5">
        <v>53</v>
      </c>
    </row>
    <row r="7" spans="1:9" ht="30" customHeight="1" x14ac:dyDescent="0.3">
      <c r="A7" s="9" t="s">
        <v>708</v>
      </c>
      <c r="B7" s="10" t="str">
        <f>VLOOKUP(InputForm[[#This Row],[feature_id]],features[],3,FALSE)</f>
        <v>Фонологические ступени долготы</v>
      </c>
      <c r="C7" s="3" t="s">
        <v>933</v>
      </c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 t="s">
        <v>2489</v>
      </c>
      <c r="F7" s="4" t="s">
        <v>2489</v>
      </c>
      <c r="G7" s="4" t="s">
        <v>2489</v>
      </c>
      <c r="H7" s="4"/>
      <c r="I7" s="5">
        <v>53</v>
      </c>
    </row>
    <row r="8" spans="1:9" ht="30" customHeight="1" x14ac:dyDescent="0.3">
      <c r="A8" s="9" t="s">
        <v>710</v>
      </c>
      <c r="B8" s="10" t="str">
        <f>VLOOKUP(InputForm[[#This Row],[feature_id]],features[],3,FALSE)</f>
        <v>Наличие противопоставления гласных по лабиализации</v>
      </c>
      <c r="C8" s="3" t="s">
        <v>3910</v>
      </c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>A-7-2</v>
      </c>
      <c r="E8" s="4" t="s">
        <v>3632</v>
      </c>
      <c r="F8" s="4" t="s">
        <v>2489</v>
      </c>
      <c r="G8" s="4" t="s">
        <v>2489</v>
      </c>
      <c r="H8" s="4"/>
      <c r="I8" s="5">
        <v>53</v>
      </c>
    </row>
    <row r="9" spans="1:9" ht="30" customHeight="1" x14ac:dyDescent="0.3">
      <c r="A9" s="9" t="s">
        <v>712</v>
      </c>
      <c r="B9" s="10" t="str">
        <f>VLOOKUP(InputForm[[#This Row],[feature_id]],features[],3,FALSE)</f>
        <v>Противопоставление гласных по лабиализации</v>
      </c>
      <c r="C9" s="3" t="s">
        <v>933</v>
      </c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4"/>
      <c r="F9" s="4" t="s">
        <v>2489</v>
      </c>
      <c r="G9" s="4" t="s">
        <v>2489</v>
      </c>
      <c r="H9" s="4"/>
      <c r="I9" s="5">
        <v>53</v>
      </c>
    </row>
    <row r="10" spans="1:9" ht="30" customHeight="1" x14ac:dyDescent="0.3">
      <c r="A10" s="9" t="s">
        <v>714</v>
      </c>
      <c r="B10" s="10" t="str">
        <f>VLOOKUP(InputForm[[#This Row],[feature_id]],features[],3,FALSE)</f>
        <v>Наличие противопоставления гласных по назализации</v>
      </c>
      <c r="C10" s="3" t="s">
        <v>3910</v>
      </c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>A-9-2</v>
      </c>
      <c r="E10" s="4" t="s">
        <v>3643</v>
      </c>
      <c r="F10" s="4" t="s">
        <v>2489</v>
      </c>
      <c r="G10" s="4" t="s">
        <v>2489</v>
      </c>
      <c r="H10" s="4"/>
      <c r="I10" s="5">
        <v>53</v>
      </c>
    </row>
    <row r="11" spans="1:9" ht="30" customHeight="1" x14ac:dyDescent="0.3">
      <c r="A11" s="9" t="s">
        <v>716</v>
      </c>
      <c r="B11" s="10" t="str">
        <f>VLOOKUP(InputForm[[#This Row],[feature_id]],features[],3,FALSE)</f>
        <v>Противопоставление гласных по назализации</v>
      </c>
      <c r="C11" s="3" t="s">
        <v>933</v>
      </c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 t="s">
        <v>2489</v>
      </c>
      <c r="F11" s="4" t="s">
        <v>2489</v>
      </c>
      <c r="G11" s="4" t="s">
        <v>2489</v>
      </c>
      <c r="H11" s="4"/>
      <c r="I11" s="5">
        <v>53</v>
      </c>
    </row>
    <row r="12" spans="1:9" s="17" customFormat="1" ht="6" customHeight="1" x14ac:dyDescent="0.3">
      <c r="A12" s="12" t="s">
        <v>718</v>
      </c>
      <c r="B12" s="13" t="str">
        <f>VLOOKUP(InputForm[[#This Row],[feature_id]],features[],3,FALSE)</f>
        <v>Противопоставление гласных по фарингализации</v>
      </c>
      <c r="C12" s="14" t="s">
        <v>3911</v>
      </c>
      <c r="D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" s="15" t="s">
        <v>2489</v>
      </c>
      <c r="F12" s="15" t="s">
        <v>2489</v>
      </c>
      <c r="G12" s="15" t="s">
        <v>2489</v>
      </c>
      <c r="H12" s="15"/>
      <c r="I12" s="16"/>
    </row>
    <row r="13" spans="1:9" s="17" customFormat="1" ht="6" customHeight="1" x14ac:dyDescent="0.3">
      <c r="A13" s="12" t="s">
        <v>720</v>
      </c>
      <c r="B13" s="13" t="str">
        <f>VLOOKUP(InputForm[[#This Row],[feature_id]],features[],3,FALSE)</f>
        <v>Противопоставление гласных по продвинутости корня языка</v>
      </c>
      <c r="C13" s="14" t="s">
        <v>3911</v>
      </c>
      <c r="D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" s="15" t="s">
        <v>2489</v>
      </c>
      <c r="F13" s="15" t="s">
        <v>2489</v>
      </c>
      <c r="G13" s="15" t="s">
        <v>2489</v>
      </c>
      <c r="H13" s="15"/>
      <c r="I13" s="16"/>
    </row>
    <row r="14" spans="1:9" ht="30" customHeight="1" x14ac:dyDescent="0.3">
      <c r="A14" s="9" t="s">
        <v>721</v>
      </c>
      <c r="B14" s="10" t="str">
        <f>VLOOKUP(InputForm[[#This Row],[feature_id]],features[],3,FALSE)</f>
        <v>Наличие дифтонгов и трифтонгов</v>
      </c>
      <c r="C14" s="3" t="s">
        <v>3910</v>
      </c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>A-13-1</v>
      </c>
      <c r="E14" s="4" t="s">
        <v>3669</v>
      </c>
      <c r="F14" s="4" t="s">
        <v>2489</v>
      </c>
      <c r="G14" s="4" t="s">
        <v>2489</v>
      </c>
      <c r="H14" s="4"/>
      <c r="I14" s="5">
        <v>53</v>
      </c>
    </row>
    <row r="15" spans="1:9" ht="30" customHeight="1" x14ac:dyDescent="0.3">
      <c r="A15" s="9" t="s">
        <v>722</v>
      </c>
      <c r="B15" s="10" t="str">
        <f>VLOOKUP(InputForm[[#This Row],[feature_id]],features[],3,FALSE)</f>
        <v>Типы дифтонгов</v>
      </c>
      <c r="C15" s="3" t="s">
        <v>933</v>
      </c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 t="s">
        <v>2489</v>
      </c>
      <c r="F15" s="4" t="s">
        <v>2489</v>
      </c>
      <c r="G15" s="4" t="s">
        <v>2489</v>
      </c>
      <c r="H15" s="4"/>
      <c r="I15" s="5">
        <v>53</v>
      </c>
    </row>
    <row r="16" spans="1:9" s="17" customFormat="1" ht="6" customHeight="1" x14ac:dyDescent="0.3">
      <c r="A16" s="12" t="s">
        <v>723</v>
      </c>
      <c r="B16" s="13" t="str">
        <f>VLOOKUP(InputForm[[#This Row],[feature_id]],features[],3,FALSE)</f>
        <v>Инвентарь шумных согласных по ларингальным признакам</v>
      </c>
      <c r="C16" s="14" t="s">
        <v>3910</v>
      </c>
      <c r="D16" s="12" t="str">
        <f>IFERROR(LEFT(InputForm[[#This Row],[Значение из списка (тип значения listed)]], SEARCH(":", InputForm[[#This Row],[Значение из списка (тип значения listed)]]) - 1), "")</f>
        <v>A-15-8</v>
      </c>
      <c r="E16" s="15" t="s">
        <v>3687</v>
      </c>
      <c r="F16" s="15" t="s">
        <v>2489</v>
      </c>
      <c r="G16" s="15" t="s">
        <v>2489</v>
      </c>
      <c r="H16" s="15"/>
      <c r="I16" s="16"/>
    </row>
    <row r="17" spans="1:9" ht="30" customHeight="1" x14ac:dyDescent="0.3">
      <c r="A17" s="9" t="s">
        <v>725</v>
      </c>
      <c r="B17" s="10" t="str">
        <f>VLOOKUP(InputForm[[#This Row],[feature_id]],features[],3,FALSE)</f>
        <v>Типы шумных согласных по способу артикуляции</v>
      </c>
      <c r="C17" s="3" t="s">
        <v>3910</v>
      </c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>A-16-3</v>
      </c>
      <c r="E17" s="4" t="s">
        <v>3702</v>
      </c>
      <c r="F17" s="4" t="s">
        <v>2489</v>
      </c>
      <c r="G17" s="4" t="s">
        <v>2489</v>
      </c>
      <c r="H17" s="4"/>
      <c r="I17" s="5">
        <v>53</v>
      </c>
    </row>
    <row r="18" spans="1:9" ht="30" customHeight="1" x14ac:dyDescent="0.3">
      <c r="A18" s="9" t="s">
        <v>726</v>
      </c>
      <c r="B18" s="10" t="str">
        <f>VLOOKUP(InputForm[[#This Row],[feature_id]],features[],3,FALSE)</f>
        <v>Типы шумных согласных по месту образования</v>
      </c>
      <c r="C18" s="3" t="s">
        <v>3910</v>
      </c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>A-17-4</v>
      </c>
      <c r="E18" s="4" t="s">
        <v>3902</v>
      </c>
      <c r="F18" s="4" t="s">
        <v>2489</v>
      </c>
      <c r="G18" s="4" t="s">
        <v>2489</v>
      </c>
      <c r="H18" s="4"/>
      <c r="I18" s="5">
        <v>53</v>
      </c>
    </row>
    <row r="19" spans="1:9" ht="30" customHeight="1" x14ac:dyDescent="0.3">
      <c r="A19" s="9" t="s">
        <v>727</v>
      </c>
      <c r="B19" s="10" t="str">
        <f>VLOOKUP(InputForm[[#This Row],[feature_id]],features[],3,FALSE)</f>
        <v>Типы шумных губных согласных по месту образования</v>
      </c>
      <c r="C19" s="3" t="s">
        <v>3910</v>
      </c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>A-18-2</v>
      </c>
      <c r="E19" s="4" t="s">
        <v>3706</v>
      </c>
      <c r="F19" s="4" t="s">
        <v>2489</v>
      </c>
      <c r="G19" s="4" t="s">
        <v>3915</v>
      </c>
      <c r="H19" s="4"/>
      <c r="I19" s="5">
        <v>53</v>
      </c>
    </row>
    <row r="20" spans="1:9" s="17" customFormat="1" ht="6" customHeight="1" x14ac:dyDescent="0.3">
      <c r="A20" s="12" t="s">
        <v>729</v>
      </c>
      <c r="B20" s="13" t="str">
        <f>VLOOKUP(InputForm[[#This Row],[feature_id]],features[],3,FALSE)</f>
        <v>Шумные переднеязычные согласные по месту образования</v>
      </c>
      <c r="C20" s="14" t="s">
        <v>3911</v>
      </c>
      <c r="D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15" t="s">
        <v>2489</v>
      </c>
      <c r="F20" s="15" t="s">
        <v>2489</v>
      </c>
      <c r="G20" s="15" t="s">
        <v>2489</v>
      </c>
      <c r="H20" s="15"/>
      <c r="I20" s="16"/>
    </row>
    <row r="21" spans="1:9" ht="30" customHeight="1" x14ac:dyDescent="0.3">
      <c r="A21" s="9" t="s">
        <v>731</v>
      </c>
      <c r="B21" s="10" t="str">
        <f>VLOOKUP(InputForm[[#This Row],[feature_id]],features[],3,FALSE)</f>
        <v>Типы шумных велярных и увулярных согласных по месту образования</v>
      </c>
      <c r="C21" s="3" t="s">
        <v>3910</v>
      </c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>A-20-3</v>
      </c>
      <c r="E21" s="4" t="s">
        <v>3759</v>
      </c>
      <c r="F21" s="4" t="s">
        <v>2489</v>
      </c>
      <c r="G21" s="4" t="s">
        <v>3914</v>
      </c>
      <c r="H21" s="4"/>
      <c r="I21" s="5">
        <v>53</v>
      </c>
    </row>
    <row r="22" spans="1:9" ht="30" customHeight="1" x14ac:dyDescent="0.3">
      <c r="A22" s="9" t="s">
        <v>733</v>
      </c>
      <c r="B22" s="10" t="str">
        <f>VLOOKUP(InputForm[[#This Row],[feature_id]],features[],3,FALSE)</f>
        <v>Типы шумных ларингальных согласных по месту образования</v>
      </c>
      <c r="C22" s="3" t="s">
        <v>3910</v>
      </c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>A-21-2</v>
      </c>
      <c r="E22" s="4" t="s">
        <v>3761</v>
      </c>
      <c r="F22" s="4" t="s">
        <v>2489</v>
      </c>
      <c r="G22" s="4" t="s">
        <v>3916</v>
      </c>
      <c r="H22" s="4"/>
      <c r="I22" s="5">
        <v>53</v>
      </c>
    </row>
    <row r="23" spans="1:9" ht="30" customHeight="1" x14ac:dyDescent="0.3">
      <c r="A23" s="9" t="s">
        <v>3600</v>
      </c>
      <c r="B23" s="10" t="str">
        <f>VLOOKUP(InputForm[[#This Row],[feature_id]],features[],3,FALSE)</f>
        <v>Дополнительные артикуляционные противопоставления шумных согласных</v>
      </c>
      <c r="C23" s="3" t="s">
        <v>3910</v>
      </c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>A-22-1</v>
      </c>
      <c r="E23" s="4" t="s">
        <v>3764</v>
      </c>
      <c r="F23" s="4" t="s">
        <v>2489</v>
      </c>
      <c r="G23" s="4" t="s">
        <v>2489</v>
      </c>
      <c r="H23" s="4"/>
      <c r="I23" s="5">
        <v>53</v>
      </c>
    </row>
    <row r="24" spans="1:9" s="17" customFormat="1" ht="6" customHeight="1" x14ac:dyDescent="0.3">
      <c r="A24" s="12" t="s">
        <v>3601</v>
      </c>
      <c r="B24" s="13" t="str">
        <f>VLOOKUP(InputForm[[#This Row],[feature_id]],features[],3,FALSE)</f>
        <v>Инвентарь сонорных согласных по способу артикуляции</v>
      </c>
      <c r="C24" s="14" t="s">
        <v>3911</v>
      </c>
      <c r="D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15" t="s">
        <v>2489</v>
      </c>
      <c r="F24" s="15" t="s">
        <v>2489</v>
      </c>
      <c r="G24" s="15" t="s">
        <v>2489</v>
      </c>
      <c r="H24" s="15"/>
      <c r="I24" s="16"/>
    </row>
    <row r="25" spans="1:9" s="17" customFormat="1" ht="6" customHeight="1" x14ac:dyDescent="0.3">
      <c r="A25" s="12" t="s">
        <v>3602</v>
      </c>
      <c r="B25" s="13" t="str">
        <f>VLOOKUP(InputForm[[#This Row],[feature_id]],features[],3,FALSE)</f>
        <v>Инвентарь сонорных согласных по месту образования</v>
      </c>
      <c r="C25" s="14" t="s">
        <v>3910</v>
      </c>
      <c r="D25" s="12" t="str">
        <f>IFERROR(LEFT(InputForm[[#This Row],[Значение из списка (тип значения listed)]], SEARCH(":", InputForm[[#This Row],[Значение из списка (тип значения listed)]]) - 1), "")</f>
        <v>A-24-14</v>
      </c>
      <c r="E25" s="15" t="s">
        <v>3840</v>
      </c>
      <c r="F25" s="15" t="s">
        <v>2489</v>
      </c>
      <c r="G25" s="15" t="s">
        <v>2489</v>
      </c>
      <c r="H25" s="15"/>
      <c r="I25" s="16"/>
    </row>
    <row r="26" spans="1:9" s="17" customFormat="1" ht="6" customHeight="1" x14ac:dyDescent="0.3">
      <c r="A26" s="12" t="s">
        <v>3603</v>
      </c>
      <c r="B26" s="13" t="str">
        <f>VLOOKUP(InputForm[[#This Row],[feature_id]],features[],3,FALSE)</f>
        <v>Дополнительные противопоставления сонорных согласных</v>
      </c>
      <c r="C26" s="14" t="s">
        <v>3910</v>
      </c>
      <c r="D26" s="12" t="str">
        <f>IFERROR(LEFT(InputForm[[#This Row],[Значение из списка (тип значения listed)]], SEARCH(":", InputForm[[#This Row],[Значение из списка (тип значения listed)]]) - 1), "")</f>
        <v>A-25-1</v>
      </c>
      <c r="E26" s="15" t="s">
        <v>3854</v>
      </c>
      <c r="F26" s="15" t="s">
        <v>2489</v>
      </c>
      <c r="G26" s="15" t="s">
        <v>2489</v>
      </c>
      <c r="H26" s="15"/>
      <c r="I26" s="16"/>
    </row>
    <row r="27" spans="1:9" s="17" customFormat="1" ht="6" customHeight="1" x14ac:dyDescent="0.3">
      <c r="A27" s="12" t="s">
        <v>3604</v>
      </c>
      <c r="B27" s="13" t="str">
        <f>VLOOKUP(InputForm[[#This Row],[feature_id]],features[],3,FALSE)</f>
        <v>Инвентарь фрикативных согласных по месту образования</v>
      </c>
      <c r="C27" s="14" t="s">
        <v>3911</v>
      </c>
      <c r="D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15" t="s">
        <v>2489</v>
      </c>
      <c r="F27" s="15" t="s">
        <v>2489</v>
      </c>
      <c r="G27" s="15" t="s">
        <v>2489</v>
      </c>
      <c r="H27" s="15"/>
      <c r="I27" s="16"/>
    </row>
    <row r="28" spans="1:9" s="17" customFormat="1" ht="6" customHeight="1" x14ac:dyDescent="0.3">
      <c r="A28" s="12" t="s">
        <v>735</v>
      </c>
      <c r="B28" s="13" t="str">
        <f>VLOOKUP(InputForm[[#This Row],[feature_id]],features[],3,FALSE)</f>
        <v>Тип ударения</v>
      </c>
      <c r="C28" s="14" t="s">
        <v>3911</v>
      </c>
      <c r="D2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15" t="s">
        <v>2489</v>
      </c>
      <c r="F28" s="15" t="s">
        <v>2489</v>
      </c>
      <c r="G28" s="15" t="s">
        <v>2489</v>
      </c>
      <c r="H28" s="15"/>
      <c r="I28" s="16"/>
    </row>
    <row r="29" spans="1:9" s="17" customFormat="1" ht="6" customHeight="1" x14ac:dyDescent="0.3">
      <c r="A29" s="12" t="s">
        <v>737</v>
      </c>
      <c r="B29" s="13" t="str">
        <f>VLOOKUP(InputForm[[#This Row],[feature_id]],features[],3,FALSE)</f>
        <v>Вид ударения</v>
      </c>
      <c r="C29" s="14" t="s">
        <v>3910</v>
      </c>
      <c r="D29" s="12" t="str">
        <f>IFERROR(LEFT(InputForm[[#This Row],[Значение из списка (тип значения listed)]], SEARCH(":", InputForm[[#This Row],[Значение из списка (тип значения listed)]]) - 1), "")</f>
        <v>B-2-1</v>
      </c>
      <c r="E29" s="15" t="s">
        <v>1902</v>
      </c>
      <c r="F29" s="15" t="s">
        <v>2489</v>
      </c>
      <c r="G29" s="15" t="s">
        <v>2489</v>
      </c>
      <c r="H29" s="15"/>
      <c r="I29" s="16"/>
    </row>
    <row r="30" spans="1:9" s="17" customFormat="1" ht="6" customHeight="1" x14ac:dyDescent="0.3">
      <c r="A30" s="12" t="s">
        <v>739</v>
      </c>
      <c r="B30" s="13" t="str">
        <f>VLOOKUP(InputForm[[#This Row],[feature_id]],features[],3,FALSE)</f>
        <v>Носитель ударения</v>
      </c>
      <c r="C30" s="14" t="s">
        <v>3910</v>
      </c>
      <c r="D30" s="12" t="str">
        <f>IFERROR(LEFT(InputForm[[#This Row],[Значение из списка (тип значения listed)]], SEARCH(":", InputForm[[#This Row],[Значение из списка (тип значения listed)]]) - 1), "")</f>
        <v>B-3-1</v>
      </c>
      <c r="E30" s="15" t="s">
        <v>1906</v>
      </c>
      <c r="F30" s="15" t="s">
        <v>2489</v>
      </c>
      <c r="G30" s="15" t="s">
        <v>2489</v>
      </c>
      <c r="H30" s="15"/>
      <c r="I30" s="16"/>
    </row>
    <row r="31" spans="1:9" s="17" customFormat="1" ht="6" customHeight="1" x14ac:dyDescent="0.3">
      <c r="A31" s="12" t="s">
        <v>741</v>
      </c>
      <c r="B31" s="13" t="str">
        <f>VLOOKUP(InputForm[[#This Row],[feature_id]],features[],3,FALSE)</f>
        <v>Фиксированность ударения</v>
      </c>
      <c r="C31" s="14" t="s">
        <v>3910</v>
      </c>
      <c r="D31" s="12" t="str">
        <f>IFERROR(LEFT(InputForm[[#This Row],[Значение из списка (тип значения listed)]], SEARCH(":", InputForm[[#This Row],[Значение из списка (тип значения listed)]]) - 1), "")</f>
        <v>B-4-3</v>
      </c>
      <c r="E31" s="15" t="s">
        <v>1911</v>
      </c>
      <c r="F31" s="15" t="s">
        <v>2489</v>
      </c>
      <c r="G31" s="15" t="s">
        <v>2489</v>
      </c>
      <c r="H31" s="15"/>
      <c r="I31" s="16"/>
    </row>
    <row r="32" spans="1:9" s="17" customFormat="1" ht="6" customHeight="1" x14ac:dyDescent="0.3">
      <c r="A32" s="12" t="s">
        <v>743</v>
      </c>
      <c r="B32" s="13" t="str">
        <f>VLOOKUP(InputForm[[#This Row],[feature_id]],features[],3,FALSE)</f>
        <v>Носитель фиксированного ударения в слове</v>
      </c>
      <c r="C32" s="14" t="s">
        <v>3910</v>
      </c>
      <c r="D32" s="12" t="str">
        <f>IFERROR(LEFT(InputForm[[#This Row],[Значение из списка (тип значения listed)]], SEARCH(":", InputForm[[#This Row],[Значение из списка (тип значения listed)]]) - 1), "")</f>
        <v>B-5-15</v>
      </c>
      <c r="E32" s="15" t="s">
        <v>1926</v>
      </c>
      <c r="F32" s="15" t="s">
        <v>2489</v>
      </c>
      <c r="G32" s="15" t="s">
        <v>2489</v>
      </c>
      <c r="H32" s="15"/>
      <c r="I32" s="16"/>
    </row>
    <row r="33" spans="1:9" s="17" customFormat="1" ht="6" customHeight="1" x14ac:dyDescent="0.3">
      <c r="A33" s="12" t="s">
        <v>745</v>
      </c>
      <c r="B33" s="13" t="str">
        <f>VLOOKUP(InputForm[[#This Row],[feature_id]],features[],3,FALSE)</f>
        <v>Количество уровней тонов</v>
      </c>
      <c r="C33" s="14" t="s">
        <v>3911</v>
      </c>
      <c r="D3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15" t="s">
        <v>2489</v>
      </c>
      <c r="F33" s="15" t="s">
        <v>2489</v>
      </c>
      <c r="G33" s="15" t="s">
        <v>2489</v>
      </c>
      <c r="H33" s="15"/>
      <c r="I33" s="16"/>
    </row>
    <row r="34" spans="1:9" s="17" customFormat="1" ht="6" customHeight="1" x14ac:dyDescent="0.3">
      <c r="A34" s="12" t="s">
        <v>747</v>
      </c>
      <c r="B34" s="13" t="str">
        <f>VLOOKUP(InputForm[[#This Row],[feature_id]],features[],3,FALSE)</f>
        <v>Контурные признаки тона</v>
      </c>
      <c r="C34" s="14" t="s">
        <v>3911</v>
      </c>
      <c r="D3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15" t="s">
        <v>2489</v>
      </c>
      <c r="F34" s="15" t="s">
        <v>2489</v>
      </c>
      <c r="G34" s="15" t="s">
        <v>2489</v>
      </c>
      <c r="H34" s="15"/>
      <c r="I34" s="16"/>
    </row>
    <row r="35" spans="1:9" s="17" customFormat="1" ht="6" customHeight="1" x14ac:dyDescent="0.3">
      <c r="A35" s="12" t="s">
        <v>749</v>
      </c>
      <c r="B35" s="13" t="str">
        <f>VLOOKUP(InputForm[[#This Row],[feature_id]],features[],3,FALSE)</f>
        <v>Носитель тона</v>
      </c>
      <c r="C35" s="14" t="s">
        <v>3911</v>
      </c>
      <c r="D3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15" t="s">
        <v>2489</v>
      </c>
      <c r="F35" s="15" t="s">
        <v>2489</v>
      </c>
      <c r="G35" s="15" t="s">
        <v>2489</v>
      </c>
      <c r="H35" s="15"/>
      <c r="I35" s="16"/>
    </row>
    <row r="36" spans="1:9" s="17" customFormat="1" ht="6" customHeight="1" x14ac:dyDescent="0.3">
      <c r="A36" s="12" t="s">
        <v>751</v>
      </c>
      <c r="B36" s="13" t="str">
        <f>VLOOKUP(InputForm[[#This Row],[feature_id]],features[],3,FALSE)</f>
        <v>Характер долготы</v>
      </c>
      <c r="C36" s="14" t="s">
        <v>3911</v>
      </c>
      <c r="D3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15" t="s">
        <v>2489</v>
      </c>
      <c r="F36" s="15" t="s">
        <v>2489</v>
      </c>
      <c r="G36" s="15" t="s">
        <v>2489</v>
      </c>
      <c r="H36" s="15"/>
      <c r="I36" s="16"/>
    </row>
    <row r="37" spans="1:9" s="17" customFormat="1" ht="6" customHeight="1" x14ac:dyDescent="0.3">
      <c r="A37" s="12" t="s">
        <v>753</v>
      </c>
      <c r="B37" s="13" t="str">
        <f>VLOOKUP(InputForm[[#This Row],[feature_id]],features[],3,FALSE)</f>
        <v>Область гармонического уподобления гласных</v>
      </c>
      <c r="C37" s="14" t="s">
        <v>3911</v>
      </c>
      <c r="D3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15" t="s">
        <v>2489</v>
      </c>
      <c r="F37" s="15" t="s">
        <v>2489</v>
      </c>
      <c r="G37" s="15" t="s">
        <v>2489</v>
      </c>
      <c r="H37" s="15"/>
      <c r="I37" s="16"/>
    </row>
    <row r="38" spans="1:9" s="17" customFormat="1" ht="6" customHeight="1" x14ac:dyDescent="0.3">
      <c r="A38" s="12" t="s">
        <v>755</v>
      </c>
      <c r="B38" s="13" t="str">
        <f>VLOOKUP(InputForm[[#This Row],[feature_id]],features[],3,FALSE)</f>
        <v>Признак гармонического уподобления гласных</v>
      </c>
      <c r="C38" s="14" t="s">
        <v>3911</v>
      </c>
      <c r="D3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15" t="s">
        <v>2489</v>
      </c>
      <c r="F38" s="15" t="s">
        <v>2489</v>
      </c>
      <c r="G38" s="15" t="s">
        <v>2489</v>
      </c>
      <c r="H38" s="15"/>
      <c r="I38" s="16"/>
    </row>
    <row r="39" spans="1:9" s="17" customFormat="1" ht="6" customHeight="1" x14ac:dyDescent="0.3">
      <c r="A39" s="12" t="s">
        <v>757</v>
      </c>
      <c r="B39" s="13" t="str">
        <f>VLOOKUP(InputForm[[#This Row],[feature_id]],features[],3,FALSE)</f>
        <v>Уподобляющий элемент при гармоническом уподоблении гласных</v>
      </c>
      <c r="C39" s="14" t="s">
        <v>3911</v>
      </c>
      <c r="D3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15" t="s">
        <v>2489</v>
      </c>
      <c r="F39" s="15" t="s">
        <v>2489</v>
      </c>
      <c r="G39" s="15" t="s">
        <v>2489</v>
      </c>
      <c r="H39" s="15"/>
      <c r="I39" s="16"/>
    </row>
    <row r="40" spans="1:9" s="17" customFormat="1" ht="6" customHeight="1" x14ac:dyDescent="0.3">
      <c r="A40" s="12" t="s">
        <v>759</v>
      </c>
      <c r="B40" s="13" t="str">
        <f>VLOOKUP(InputForm[[#This Row],[feature_id]],features[],3,FALSE)</f>
        <v>Прочие супрасегментные явления</v>
      </c>
      <c r="C40" s="14" t="s">
        <v>3911</v>
      </c>
      <c r="D4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15" t="s">
        <v>2489</v>
      </c>
      <c r="F40" s="15" t="s">
        <v>2489</v>
      </c>
      <c r="G40" s="15" t="s">
        <v>2489</v>
      </c>
      <c r="H40" s="15"/>
      <c r="I40" s="16"/>
    </row>
    <row r="41" spans="1:9" s="17" customFormat="1" ht="6" customHeight="1" x14ac:dyDescent="0.3">
      <c r="A41" s="12" t="s">
        <v>761</v>
      </c>
      <c r="B41" s="13" t="str">
        <f>VLOOKUP(InputForm[[#This Row],[feature_id]],features[],3,FALSE)</f>
        <v>Типы фонации</v>
      </c>
      <c r="C41" s="14" t="s">
        <v>3911</v>
      </c>
      <c r="D4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15" t="s">
        <v>2489</v>
      </c>
      <c r="F41" s="15" t="s">
        <v>2489</v>
      </c>
      <c r="G41" s="15" t="s">
        <v>2489</v>
      </c>
      <c r="H41" s="15"/>
      <c r="I41" s="16"/>
    </row>
    <row r="42" spans="1:9" s="17" customFormat="1" ht="6" customHeight="1" x14ac:dyDescent="0.3">
      <c r="A42" s="12" t="s">
        <v>763</v>
      </c>
      <c r="B42" s="13" t="str">
        <f>VLOOKUP(InputForm[[#This Row],[feature_id]],features[],3,FALSE)</f>
        <v>Начальный согласный в слоге</v>
      </c>
      <c r="C42" s="14" t="s">
        <v>3910</v>
      </c>
      <c r="D42" s="12" t="str">
        <f>IFERROR(LEFT(InputForm[[#This Row],[Значение из списка (тип значения listed)]], SEARCH(":", InputForm[[#This Row],[Значение из списка (тип значения listed)]]) - 1), "")</f>
        <v>C-1-5</v>
      </c>
      <c r="E42" s="15" t="s">
        <v>1992</v>
      </c>
      <c r="F42" s="15" t="s">
        <v>2489</v>
      </c>
      <c r="G42" s="15" t="s">
        <v>2489</v>
      </c>
      <c r="H42" s="15"/>
      <c r="I42" s="16"/>
    </row>
    <row r="43" spans="1:9" s="17" customFormat="1" ht="6" customHeight="1" x14ac:dyDescent="0.3">
      <c r="A43" s="12" t="s">
        <v>765</v>
      </c>
      <c r="B43" s="13" t="str">
        <f>VLOOKUP(InputForm[[#This Row],[feature_id]],features[],3,FALSE)</f>
        <v>Конечный согласный в слоге</v>
      </c>
      <c r="C43" s="14" t="s">
        <v>3910</v>
      </c>
      <c r="D43" s="12" t="str">
        <f>IFERROR(LEFT(InputForm[[#This Row],[Значение из списка (тип значения listed)]], SEARCH(":", InputForm[[#This Row],[Значение из списка (тип значения listed)]]) - 1), "")</f>
        <v>C-2-5</v>
      </c>
      <c r="E43" s="15" t="s">
        <v>1997</v>
      </c>
      <c r="F43" s="15" t="s">
        <v>2489</v>
      </c>
      <c r="G43" s="15" t="s">
        <v>2489</v>
      </c>
      <c r="H43" s="15"/>
      <c r="I43" s="16"/>
    </row>
    <row r="44" spans="1:9" s="17" customFormat="1" ht="6" customHeight="1" x14ac:dyDescent="0.3">
      <c r="A44" s="12" t="s">
        <v>767</v>
      </c>
      <c r="B44" s="13" t="str">
        <f>VLOOKUP(InputForm[[#This Row],[feature_id]],features[],3,FALSE)</f>
        <v>Ограничения на фонемную структуру сегментных морфем в начальной позиции</v>
      </c>
      <c r="C44" s="14" t="s">
        <v>3911</v>
      </c>
      <c r="D4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15" t="s">
        <v>2489</v>
      </c>
      <c r="F44" s="15" t="s">
        <v>2489</v>
      </c>
      <c r="G44" s="15" t="s">
        <v>2489</v>
      </c>
      <c r="H44" s="15"/>
      <c r="I44" s="16"/>
    </row>
    <row r="45" spans="1:9" s="17" customFormat="1" ht="6" customHeight="1" x14ac:dyDescent="0.3">
      <c r="A45" s="12" t="s">
        <v>769</v>
      </c>
      <c r="B45" s="13" t="str">
        <f>VLOOKUP(InputForm[[#This Row],[feature_id]],features[],3,FALSE)</f>
        <v>Ограничения на фонемную структуру сегментных морфем в конечной позиции</v>
      </c>
      <c r="C45" s="14" t="s">
        <v>3911</v>
      </c>
      <c r="D4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15" t="s">
        <v>2489</v>
      </c>
      <c r="F45" s="15" t="s">
        <v>2489</v>
      </c>
      <c r="G45" s="15" t="s">
        <v>2489</v>
      </c>
      <c r="H45" s="15"/>
      <c r="I45" s="16"/>
    </row>
    <row r="46" spans="1:9" s="17" customFormat="1" ht="6" customHeight="1" x14ac:dyDescent="0.3">
      <c r="A46" s="12" t="s">
        <v>771</v>
      </c>
      <c r="B46" s="13" t="str">
        <f>VLOOKUP(InputForm[[#This Row],[feature_id]],features[],3,FALSE)</f>
        <v>Особенности слогового состава слова</v>
      </c>
      <c r="C46" s="14" t="s">
        <v>3911</v>
      </c>
      <c r="D4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15" t="s">
        <v>2489</v>
      </c>
      <c r="F46" s="15" t="s">
        <v>2489</v>
      </c>
      <c r="G46" s="15" t="s">
        <v>2489</v>
      </c>
      <c r="H46" s="15"/>
      <c r="I46" s="16"/>
    </row>
    <row r="47" spans="1:9" s="17" customFormat="1" ht="6" customHeight="1" x14ac:dyDescent="0.3">
      <c r="A47" s="12" t="s">
        <v>773</v>
      </c>
      <c r="B47" s="13" t="str">
        <f>VLOOKUP(InputForm[[#This Row],[feature_id]],features[],3,FALSE)</f>
        <v>Различия между знаменательными и служебными словами</v>
      </c>
      <c r="C47" s="14" t="s">
        <v>3911</v>
      </c>
      <c r="D4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15" t="s">
        <v>2489</v>
      </c>
      <c r="F47" s="15" t="s">
        <v>2489</v>
      </c>
      <c r="G47" s="15" t="s">
        <v>2489</v>
      </c>
      <c r="H47" s="15"/>
      <c r="I47" s="16"/>
    </row>
    <row r="48" spans="1:9" s="17" customFormat="1" ht="6" customHeight="1" x14ac:dyDescent="0.3">
      <c r="A48" s="12" t="s">
        <v>775</v>
      </c>
      <c r="B48" s="13" t="str">
        <f>VLOOKUP(InputForm[[#This Row],[feature_id]],features[],3,FALSE)</f>
        <v>Различия между исконными и заимствованными словами</v>
      </c>
      <c r="C48" s="14" t="s">
        <v>3911</v>
      </c>
      <c r="D4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15" t="s">
        <v>2489</v>
      </c>
      <c r="F48" s="15" t="s">
        <v>2489</v>
      </c>
      <c r="G48" s="15" t="s">
        <v>2489</v>
      </c>
      <c r="H48" s="15"/>
      <c r="I48" s="16"/>
    </row>
    <row r="49" spans="1:9" s="17" customFormat="1" ht="6" customHeight="1" x14ac:dyDescent="0.3">
      <c r="A49" s="12" t="s">
        <v>777</v>
      </c>
      <c r="B49" s="13" t="str">
        <f>VLOOKUP(InputForm[[#This Row],[feature_id]],features[],3,FALSE)</f>
        <v>Различия между корневыми и аффиксальными морфемами</v>
      </c>
      <c r="C49" s="14" t="s">
        <v>3911</v>
      </c>
      <c r="D4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15" t="s">
        <v>2489</v>
      </c>
      <c r="F49" s="15" t="s">
        <v>2489</v>
      </c>
      <c r="G49" s="15" t="s">
        <v>2489</v>
      </c>
      <c r="H49" s="15"/>
      <c r="I49" s="16"/>
    </row>
    <row r="50" spans="1:9" s="17" customFormat="1" ht="6" customHeight="1" x14ac:dyDescent="0.3">
      <c r="A50" s="12" t="s">
        <v>779</v>
      </c>
      <c r="B50" s="13" t="str">
        <f>VLOOKUP(InputForm[[#This Row],[feature_id]],features[],3,FALSE)</f>
        <v>Функциональный тип чередований</v>
      </c>
      <c r="C50" s="14" t="s">
        <v>3911</v>
      </c>
      <c r="D5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15" t="s">
        <v>2489</v>
      </c>
      <c r="F50" s="15" t="s">
        <v>2489</v>
      </c>
      <c r="G50" s="15" t="s">
        <v>2489</v>
      </c>
      <c r="H50" s="15"/>
      <c r="I50" s="16"/>
    </row>
    <row r="51" spans="1:9" s="17" customFormat="1" ht="6" customHeight="1" x14ac:dyDescent="0.3">
      <c r="A51" s="12" t="s">
        <v>781</v>
      </c>
      <c r="B51" s="13" t="str">
        <f>VLOOKUP(InputForm[[#This Row],[feature_id]],features[],3,FALSE)</f>
        <v>Вид чередований</v>
      </c>
      <c r="C51" s="14" t="s">
        <v>3911</v>
      </c>
      <c r="D5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15" t="s">
        <v>2489</v>
      </c>
      <c r="F51" s="15" t="s">
        <v>2489</v>
      </c>
      <c r="G51" s="15" t="s">
        <v>2489</v>
      </c>
      <c r="H51" s="15"/>
      <c r="I51" s="16"/>
    </row>
    <row r="52" spans="1:9" s="17" customFormat="1" ht="6" customHeight="1" x14ac:dyDescent="0.3">
      <c r="A52" s="12" t="s">
        <v>783</v>
      </c>
      <c r="B52" s="13" t="str">
        <f>VLOOKUP(InputForm[[#This Row],[feature_id]],features[],3,FALSE)</f>
        <v>Тип языка по способу соединения морфем в слове</v>
      </c>
      <c r="C52" s="14" t="s">
        <v>3910</v>
      </c>
      <c r="D52" s="12" t="str">
        <f>IFERROR(LEFT(InputForm[[#This Row],[Значение из списка (тип значения listed)]], SEARCH(":", InputForm[[#This Row],[Значение из списка (тип значения listed)]]) - 1), "")</f>
        <v>E-1-2</v>
      </c>
      <c r="E52" s="15" t="s">
        <v>2062</v>
      </c>
      <c r="F52" s="15" t="s">
        <v>2489</v>
      </c>
      <c r="G52" s="15" t="s">
        <v>2489</v>
      </c>
      <c r="H52" s="15"/>
      <c r="I52" s="16"/>
    </row>
    <row r="53" spans="1:9" s="17" customFormat="1" ht="6" customHeight="1" x14ac:dyDescent="0.3">
      <c r="A53" s="12" t="s">
        <v>785</v>
      </c>
      <c r="B53" s="13" t="str">
        <f>VLOOKUP(InputForm[[#This Row],[feature_id]],features[],3,FALSE)</f>
        <v>Признаки флективного строя</v>
      </c>
      <c r="C53" s="14" t="s">
        <v>3911</v>
      </c>
      <c r="D5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15" t="s">
        <v>2489</v>
      </c>
      <c r="F53" s="15" t="s">
        <v>2489</v>
      </c>
      <c r="G53" s="15" t="s">
        <v>2489</v>
      </c>
      <c r="H53" s="15"/>
      <c r="I53" s="16"/>
    </row>
    <row r="54" spans="1:9" s="17" customFormat="1" ht="6" customHeight="1" x14ac:dyDescent="0.3">
      <c r="A54" s="12" t="s">
        <v>787</v>
      </c>
      <c r="B54" s="13" t="str">
        <f>VLOOKUP(InputForm[[#This Row],[feature_id]],features[],3,FALSE)</f>
        <v>Признаки агглютинативного строя</v>
      </c>
      <c r="C54" s="14" t="s">
        <v>3911</v>
      </c>
      <c r="D5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15" t="s">
        <v>2489</v>
      </c>
      <c r="F54" s="15" t="s">
        <v>2489</v>
      </c>
      <c r="G54" s="15" t="s">
        <v>2489</v>
      </c>
      <c r="H54" s="15"/>
      <c r="I54" s="16"/>
    </row>
    <row r="55" spans="1:9" s="17" customFormat="1" ht="6" customHeight="1" x14ac:dyDescent="0.3">
      <c r="A55" s="12" t="s">
        <v>789</v>
      </c>
      <c r="B55" s="13" t="str">
        <f>VLOOKUP(InputForm[[#This Row],[feature_id]],features[],3,FALSE)</f>
        <v>Тип языка по степени спаянности морфем</v>
      </c>
      <c r="C55" s="14" t="s">
        <v>3910</v>
      </c>
      <c r="D55" s="12" t="str">
        <f>IFERROR(LEFT(InputForm[[#This Row],[Значение из списка (тип значения listed)]], SEARCH(":", InputForm[[#This Row],[Значение из списка (тип значения listed)]]) - 1), "")</f>
        <v>E-4-6</v>
      </c>
      <c r="E55" s="15" t="s">
        <v>2082</v>
      </c>
      <c r="F55" s="15" t="s">
        <v>2489</v>
      </c>
      <c r="G55" s="15" t="s">
        <v>2489</v>
      </c>
      <c r="H55" s="15"/>
      <c r="I55" s="16"/>
    </row>
    <row r="56" spans="1:9" s="17" customFormat="1" ht="6" customHeight="1" x14ac:dyDescent="0.3">
      <c r="A56" s="12" t="s">
        <v>791</v>
      </c>
      <c r="B56" s="13" t="str">
        <f>VLOOKUP(InputForm[[#This Row],[feature_id]],features[],3,FALSE)</f>
        <v>Количество согласовательных классов</v>
      </c>
      <c r="C56" s="14" t="s">
        <v>3910</v>
      </c>
      <c r="D56" s="12" t="str">
        <f>IFERROR(LEFT(InputForm[[#This Row],[Значение из списка (тип значения listed)]], SEARCH(":", InputForm[[#This Row],[Значение из списка (тип значения listed)]]) - 1), "")</f>
        <v>F-1-1</v>
      </c>
      <c r="E56" s="15" t="s">
        <v>2083</v>
      </c>
      <c r="F56" s="15" t="s">
        <v>2489</v>
      </c>
      <c r="G56" s="15" t="s">
        <v>2489</v>
      </c>
      <c r="H56" s="15"/>
      <c r="I56" s="16"/>
    </row>
    <row r="57" spans="1:9" s="17" customFormat="1" ht="6" customHeight="1" x14ac:dyDescent="0.3">
      <c r="A57" s="12" t="s">
        <v>793</v>
      </c>
      <c r="B57" s="13" t="str">
        <f>VLOOKUP(InputForm[[#This Row],[feature_id]],features[],3,FALSE)</f>
        <v>Морфологические способы выражения согласовательных классов</v>
      </c>
      <c r="C57" s="14" t="s">
        <v>933</v>
      </c>
      <c r="D5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15" t="s">
        <v>2489</v>
      </c>
      <c r="F57" s="15" t="s">
        <v>2489</v>
      </c>
      <c r="G57" s="15" t="s">
        <v>2489</v>
      </c>
      <c r="H57" s="15"/>
      <c r="I57" s="16"/>
    </row>
    <row r="58" spans="1:9" s="17" customFormat="1" ht="6" customHeight="1" x14ac:dyDescent="0.3">
      <c r="A58" s="12" t="s">
        <v>795</v>
      </c>
      <c r="B58" s="13" t="str">
        <f>VLOOKUP(InputForm[[#This Row],[feature_id]],features[],3,FALSE)</f>
        <v>Синтаксические способы выражения согласовательных классов</v>
      </c>
      <c r="C58" s="14" t="s">
        <v>933</v>
      </c>
      <c r="D5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15" t="s">
        <v>2489</v>
      </c>
      <c r="F58" s="15" t="s">
        <v>2489</v>
      </c>
      <c r="G58" s="15" t="s">
        <v>2489</v>
      </c>
      <c r="H58" s="15"/>
      <c r="I58" s="16"/>
    </row>
    <row r="59" spans="1:9" s="17" customFormat="1" ht="6" customHeight="1" x14ac:dyDescent="0.3">
      <c r="A59" s="12" t="s">
        <v>797</v>
      </c>
      <c r="B59" s="13" t="str">
        <f>VLOOKUP(InputForm[[#This Row],[feature_id]],features[],3,FALSE)</f>
        <v>Другие способы выражения согласовательных классов</v>
      </c>
      <c r="C59" s="14" t="s">
        <v>933</v>
      </c>
      <c r="D5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15" t="s">
        <v>2489</v>
      </c>
      <c r="F59" s="15" t="s">
        <v>2489</v>
      </c>
      <c r="G59" s="15" t="s">
        <v>2489</v>
      </c>
      <c r="H59" s="15"/>
      <c r="I59" s="16"/>
    </row>
    <row r="60" spans="1:9" s="17" customFormat="1" ht="6" customHeight="1" x14ac:dyDescent="0.3">
      <c r="A60" s="12" t="s">
        <v>799</v>
      </c>
      <c r="B60" s="13" t="str">
        <f>VLOOKUP(InputForm[[#This Row],[feature_id]],features[],3,FALSE)</f>
        <v>Атрибутивное согласование по роду</v>
      </c>
      <c r="C60" s="14" t="s">
        <v>3911</v>
      </c>
      <c r="D6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15" t="s">
        <v>2489</v>
      </c>
      <c r="F60" s="15" t="s">
        <v>2489</v>
      </c>
      <c r="G60" s="15" t="s">
        <v>2489</v>
      </c>
      <c r="H60" s="15"/>
      <c r="I60" s="16"/>
    </row>
    <row r="61" spans="1:9" s="17" customFormat="1" ht="6" customHeight="1" x14ac:dyDescent="0.3">
      <c r="A61" s="12" t="s">
        <v>801</v>
      </c>
      <c r="B61" s="13" t="str">
        <f>VLOOKUP(InputForm[[#This Row],[feature_id]],features[],3,FALSE)</f>
        <v>Согласование количественных числительных в роде</v>
      </c>
      <c r="C61" s="14" t="s">
        <v>3911</v>
      </c>
      <c r="D6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15" t="s">
        <v>2489</v>
      </c>
      <c r="F61" s="15" t="s">
        <v>2489</v>
      </c>
      <c r="G61" s="15" t="s">
        <v>2489</v>
      </c>
      <c r="H61" s="15"/>
      <c r="I61" s="16"/>
    </row>
    <row r="62" spans="1:9" s="17" customFormat="1" ht="6" customHeight="1" x14ac:dyDescent="0.3">
      <c r="A62" s="12" t="s">
        <v>804</v>
      </c>
      <c r="B62" s="13" t="str">
        <f>VLOOKUP(InputForm[[#This Row],[feature_id]],features[],3,FALSE)</f>
        <v>Классифицирующие категории существительных</v>
      </c>
      <c r="C62" s="14" t="s">
        <v>3910</v>
      </c>
      <c r="D62" s="12" t="str">
        <f>IFERROR(LEFT(InputForm[[#This Row],[Значение из списка (тип значения listed)]], SEARCH(":", InputForm[[#This Row],[Значение из списка (тип значения listed)]]) - 1), "")</f>
        <v>F-7-1</v>
      </c>
      <c r="E62" s="15" t="s">
        <v>2114</v>
      </c>
      <c r="F62" s="15" t="s">
        <v>2489</v>
      </c>
      <c r="G62" s="15" t="s">
        <v>2489</v>
      </c>
      <c r="H62" s="15"/>
      <c r="I62" s="16"/>
    </row>
    <row r="63" spans="1:9" s="17" customFormat="1" ht="6" customHeight="1" x14ac:dyDescent="0.3">
      <c r="A63" s="12" t="s">
        <v>806</v>
      </c>
      <c r="B63" s="13" t="str">
        <f>VLOOKUP(InputForm[[#This Row],[feature_id]],features[],3,FALSE)</f>
        <v>Противопоставление по личности/неличности</v>
      </c>
      <c r="C63" s="14" t="s">
        <v>3911</v>
      </c>
      <c r="D6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15" t="s">
        <v>2489</v>
      </c>
      <c r="F63" s="15" t="s">
        <v>2489</v>
      </c>
      <c r="G63" s="15" t="s">
        <v>2489</v>
      </c>
      <c r="H63" s="15"/>
      <c r="I63" s="16"/>
    </row>
    <row r="64" spans="1:9" s="17" customFormat="1" ht="6" customHeight="1" x14ac:dyDescent="0.3">
      <c r="A64" s="12" t="s">
        <v>807</v>
      </c>
      <c r="B64" s="13" t="str">
        <f>VLOOKUP(InputForm[[#This Row],[feature_id]],features[],3,FALSE)</f>
        <v>Способ выражения одушевленности/неодушевленности</v>
      </c>
      <c r="C64" s="14" t="s">
        <v>3911</v>
      </c>
      <c r="D6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15" t="s">
        <v>2489</v>
      </c>
      <c r="F64" s="15" t="s">
        <v>2489</v>
      </c>
      <c r="G64" s="15" t="s">
        <v>2489</v>
      </c>
      <c r="H64" s="15"/>
      <c r="I64" s="16"/>
    </row>
    <row r="65" spans="1:9" s="17" customFormat="1" ht="6" customHeight="1" x14ac:dyDescent="0.3">
      <c r="A65" s="12" t="s">
        <v>808</v>
      </c>
      <c r="B65" s="13" t="str">
        <f>VLOOKUP(InputForm[[#This Row],[feature_id]],features[],3,FALSE)</f>
        <v>Категория числа у существительных</v>
      </c>
      <c r="C65" s="14" t="s">
        <v>3910</v>
      </c>
      <c r="D65" s="12" t="str">
        <f>IFERROR(LEFT(InputForm[[#This Row],[Значение из списка (тип значения listed)]], SEARCH(":", InputForm[[#This Row],[Значение из списка (тип значения listed)]]) - 1), "")</f>
        <v>G-1-1</v>
      </c>
      <c r="E65" s="15" t="s">
        <v>2132</v>
      </c>
      <c r="F65" s="15" t="s">
        <v>2489</v>
      </c>
      <c r="G65" s="15" t="s">
        <v>2489</v>
      </c>
      <c r="H65" s="15"/>
      <c r="I65" s="16"/>
    </row>
    <row r="66" spans="1:9" s="17" customFormat="1" ht="6" customHeight="1" x14ac:dyDescent="0.3">
      <c r="A66" s="12" t="s">
        <v>809</v>
      </c>
      <c r="B66" s="13" t="str">
        <f>VLOOKUP(InputForm[[#This Row],[feature_id]],features[],3,FALSE)</f>
        <v>Маркирование единственного числа существительных</v>
      </c>
      <c r="C66" s="14" t="s">
        <v>3910</v>
      </c>
      <c r="D66" s="12" t="str">
        <f>IFERROR(LEFT(InputForm[[#This Row],[Значение из списка (тип значения listed)]], SEARCH(":", InputForm[[#This Row],[Значение из списка (тип значения listed)]]) - 1), "")</f>
        <v>G-2-2</v>
      </c>
      <c r="E66" s="15" t="s">
        <v>2135</v>
      </c>
      <c r="F66" s="15" t="s">
        <v>2489</v>
      </c>
      <c r="G66" s="15" t="s">
        <v>2489</v>
      </c>
      <c r="H66" s="15"/>
      <c r="I66" s="16"/>
    </row>
    <row r="67" spans="1:9" s="17" customFormat="1" ht="6" customHeight="1" x14ac:dyDescent="0.3">
      <c r="A67" s="12" t="s">
        <v>810</v>
      </c>
      <c r="B67" s="13" t="str">
        <f>VLOOKUP(InputForm[[#This Row],[feature_id]],features[],3,FALSE)</f>
        <v>Формы вежливости в местоимениях и глаголах</v>
      </c>
      <c r="C67" s="14" t="s">
        <v>3910</v>
      </c>
      <c r="D67" s="12" t="str">
        <f>IFERROR(LEFT(InputForm[[#This Row],[Значение из списка (тип значения listed)]], SEARCH(":", InputForm[[#This Row],[Значение из списка (тип значения listed)]]) - 1), "")</f>
        <v>G-3-1</v>
      </c>
      <c r="E67" s="15" t="s">
        <v>2137</v>
      </c>
      <c r="F67" s="15" t="s">
        <v>2489</v>
      </c>
      <c r="G67" s="15" t="s">
        <v>2489</v>
      </c>
      <c r="H67" s="15"/>
      <c r="I67" s="16"/>
    </row>
    <row r="68" spans="1:9" s="17" customFormat="1" ht="6" customHeight="1" x14ac:dyDescent="0.3">
      <c r="A68" s="12" t="s">
        <v>811</v>
      </c>
      <c r="B68" s="13" t="str">
        <f>VLOOKUP(InputForm[[#This Row],[feature_id]],features[],3,FALSE)</f>
        <v>Согласование по числу</v>
      </c>
      <c r="C68" s="14" t="s">
        <v>3911</v>
      </c>
      <c r="D6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15" t="s">
        <v>2489</v>
      </c>
      <c r="F68" s="15" t="s">
        <v>2489</v>
      </c>
      <c r="G68" s="15" t="s">
        <v>2489</v>
      </c>
      <c r="H68" s="15"/>
      <c r="I68" s="16"/>
    </row>
    <row r="69" spans="1:9" s="17" customFormat="1" ht="6" customHeight="1" x14ac:dyDescent="0.3">
      <c r="A69" s="12" t="s">
        <v>813</v>
      </c>
      <c r="B69" s="13" t="str">
        <f>VLOOKUP(InputForm[[#This Row],[feature_id]],features[],3,FALSE)</f>
        <v>Форма числа существительного в сочетании с числительными</v>
      </c>
      <c r="C69" s="14" t="s">
        <v>3911</v>
      </c>
      <c r="D6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15" t="s">
        <v>2489</v>
      </c>
      <c r="F69" s="15" t="s">
        <v>2489</v>
      </c>
      <c r="G69" s="15" t="s">
        <v>2489</v>
      </c>
      <c r="H69" s="15"/>
      <c r="I69" s="16"/>
    </row>
    <row r="70" spans="1:9" s="17" customFormat="1" ht="6" customHeight="1" x14ac:dyDescent="0.3">
      <c r="A70" s="12" t="s">
        <v>814</v>
      </c>
      <c r="B70" s="13" t="str">
        <f>VLOOKUP(InputForm[[#This Row],[feature_id]],features[],3,FALSE)</f>
        <v>Система счисления</v>
      </c>
      <c r="C70" s="14" t="s">
        <v>3911</v>
      </c>
      <c r="D7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15" t="s">
        <v>2489</v>
      </c>
      <c r="F70" s="15" t="s">
        <v>2489</v>
      </c>
      <c r="G70" s="15" t="s">
        <v>2489</v>
      </c>
      <c r="H70" s="15"/>
      <c r="I70" s="16"/>
    </row>
    <row r="71" spans="1:9" s="17" customFormat="1" ht="6" customHeight="1" x14ac:dyDescent="0.3">
      <c r="A71" s="12" t="s">
        <v>816</v>
      </c>
      <c r="B71" s="13" t="str">
        <f>VLOOKUP(InputForm[[#This Row],[feature_id]],features[],3,FALSE)</f>
        <v>Количество падежей у имени существительного</v>
      </c>
      <c r="C71" s="14" t="s">
        <v>3910</v>
      </c>
      <c r="D71" s="12" t="str">
        <f>IFERROR(LEFT(InputForm[[#This Row],[Значение из списка (тип значения listed)]], SEARCH(":", InputForm[[#This Row],[Значение из списка (тип значения listed)]]) - 1), "")</f>
        <v>H-1-3</v>
      </c>
      <c r="E71" s="15" t="s">
        <v>2145</v>
      </c>
      <c r="F71" s="15" t="s">
        <v>2489</v>
      </c>
      <c r="G71" s="15" t="s">
        <v>2489</v>
      </c>
      <c r="H71" s="15"/>
      <c r="I71" s="16"/>
    </row>
    <row r="72" spans="1:9" s="17" customFormat="1" ht="6" customHeight="1" x14ac:dyDescent="0.3">
      <c r="A72" s="12" t="s">
        <v>817</v>
      </c>
      <c r="B72" s="13" t="str">
        <f>VLOOKUP(InputForm[[#This Row],[feature_id]],features[],3,FALSE)</f>
        <v>Маркирование субъекта и объекта</v>
      </c>
      <c r="C72" s="14" t="s">
        <v>3911</v>
      </c>
      <c r="D7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15" t="s">
        <v>2489</v>
      </c>
      <c r="F72" s="15" t="s">
        <v>2489</v>
      </c>
      <c r="G72" s="15" t="s">
        <v>2489</v>
      </c>
      <c r="H72" s="15"/>
      <c r="I72" s="16"/>
    </row>
    <row r="73" spans="1:9" s="17" customFormat="1" ht="6" customHeight="1" x14ac:dyDescent="0.3">
      <c r="A73" s="12" t="s">
        <v>819</v>
      </c>
      <c r="B73" s="13" t="str">
        <f>VLOOKUP(InputForm[[#This Row],[feature_id]],features[],3,FALSE)</f>
        <v>Падежное оформление именного сказуемого</v>
      </c>
      <c r="C73" s="14" t="s">
        <v>3911</v>
      </c>
      <c r="D7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15" t="s">
        <v>2489</v>
      </c>
      <c r="F73" s="15" t="s">
        <v>2489</v>
      </c>
      <c r="G73" s="15" t="s">
        <v>2489</v>
      </c>
      <c r="H73" s="15"/>
      <c r="I73" s="16"/>
    </row>
    <row r="74" spans="1:9" s="17" customFormat="1" ht="6" customHeight="1" x14ac:dyDescent="0.3">
      <c r="A74" s="12" t="s">
        <v>821</v>
      </c>
      <c r="B74" s="13" t="str">
        <f>VLOOKUP(InputForm[[#This Row],[feature_id]],features[],3,FALSE)</f>
        <v>Падежное оформление посессивного отношения в именной группе</v>
      </c>
      <c r="C74" s="14" t="s">
        <v>3910</v>
      </c>
      <c r="D74" s="12" t="str">
        <f>IFERROR(LEFT(InputForm[[#This Row],[Значение из списка (тип значения listed)]], SEARCH(":", InputForm[[#This Row],[Значение из списка (тип значения listed)]]) - 1), "")</f>
        <v>H-4-1</v>
      </c>
      <c r="E74" s="15" t="s">
        <v>3351</v>
      </c>
      <c r="F74" s="15" t="s">
        <v>2489</v>
      </c>
      <c r="G74" s="15" t="s">
        <v>2489</v>
      </c>
      <c r="H74" s="15"/>
      <c r="I74" s="16"/>
    </row>
    <row r="75" spans="1:9" s="17" customFormat="1" ht="6" customHeight="1" x14ac:dyDescent="0.3">
      <c r="A75" s="12" t="s">
        <v>822</v>
      </c>
      <c r="B75" s="13" t="str">
        <f>VLOOKUP(InputForm[[#This Row],[feature_id]],features[],3,FALSE)</f>
        <v>Другие способы оформления посессивного отношения</v>
      </c>
      <c r="C75" s="14" t="s">
        <v>3911</v>
      </c>
      <c r="D7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15" t="s">
        <v>2489</v>
      </c>
      <c r="F75" s="15" t="s">
        <v>2489</v>
      </c>
      <c r="G75" s="15" t="s">
        <v>2489</v>
      </c>
      <c r="H75" s="15"/>
      <c r="I75" s="16"/>
    </row>
    <row r="76" spans="1:9" s="17" customFormat="1" ht="6" customHeight="1" x14ac:dyDescent="0.3">
      <c r="A76" s="12" t="s">
        <v>824</v>
      </c>
      <c r="B76" s="13" t="str">
        <f>VLOOKUP(InputForm[[#This Row],[feature_id]],features[],3,FALSE)</f>
        <v>Способ выражения пространственных отношений</v>
      </c>
      <c r="C76" s="14" t="s">
        <v>3911</v>
      </c>
      <c r="D7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15" t="s">
        <v>2489</v>
      </c>
      <c r="F76" s="15" t="s">
        <v>2489</v>
      </c>
      <c r="G76" s="15" t="s">
        <v>2489</v>
      </c>
      <c r="H76" s="15"/>
      <c r="I76" s="16"/>
    </row>
    <row r="77" spans="1:9" s="17" customFormat="1" ht="6" customHeight="1" x14ac:dyDescent="0.3">
      <c r="A77" s="12" t="s">
        <v>826</v>
      </c>
      <c r="B77" s="13" t="str">
        <f>VLOOKUP(InputForm[[#This Row],[feature_id]],features[],3,FALSE)</f>
        <v>Маркирование в посессивной конструкции</v>
      </c>
      <c r="C77" s="14" t="s">
        <v>3911</v>
      </c>
      <c r="D7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15" t="s">
        <v>2489</v>
      </c>
      <c r="F77" s="15" t="s">
        <v>2489</v>
      </c>
      <c r="G77" s="15" t="s">
        <v>2489</v>
      </c>
      <c r="H77" s="15"/>
      <c r="I77" s="16"/>
    </row>
    <row r="78" spans="1:9" s="17" customFormat="1" ht="6" customHeight="1" x14ac:dyDescent="0.3">
      <c r="A78" s="12" t="s">
        <v>827</v>
      </c>
      <c r="B78" s="13" t="str">
        <f>VLOOKUP(InputForm[[#This Row],[feature_id]],features[],3,FALSE)</f>
        <v>Падежное оформление одушевленных и неодушевленных имен существительных</v>
      </c>
      <c r="C78" s="14" t="s">
        <v>3911</v>
      </c>
      <c r="D7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15" t="s">
        <v>2489</v>
      </c>
      <c r="F78" s="15" t="s">
        <v>2489</v>
      </c>
      <c r="G78" s="15" t="s">
        <v>2489</v>
      </c>
      <c r="H78" s="15"/>
      <c r="I78" s="16"/>
    </row>
    <row r="79" spans="1:9" s="17" customFormat="1" ht="6" customHeight="1" x14ac:dyDescent="0.3">
      <c r="A79" s="12" t="s">
        <v>828</v>
      </c>
      <c r="B79" s="13" t="str">
        <f>VLOOKUP(InputForm[[#This Row],[feature_id]],features[],3,FALSE)</f>
        <v>Наличие вторичных падежей</v>
      </c>
      <c r="C79" s="14" t="s">
        <v>3911</v>
      </c>
      <c r="D7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15" t="s">
        <v>2489</v>
      </c>
      <c r="F79" s="15" t="s">
        <v>2489</v>
      </c>
      <c r="G79" s="15" t="s">
        <v>2489</v>
      </c>
      <c r="H79" s="15"/>
      <c r="I79" s="16"/>
    </row>
    <row r="80" spans="1:9" s="17" customFormat="1" ht="6" customHeight="1" x14ac:dyDescent="0.3">
      <c r="A80" s="12" t="s">
        <v>830</v>
      </c>
      <c r="B80" s="13" t="str">
        <f>VLOOKUP(InputForm[[#This Row],[feature_id]],features[],3,FALSE)</f>
        <v>Способ выражения залоговых форм в глаголе</v>
      </c>
      <c r="C80" s="14" t="s">
        <v>3910</v>
      </c>
      <c r="D80" s="12" t="str">
        <f>IFERROR(LEFT(InputForm[[#This Row],[Значение из списка (тип значения listed)]], SEARCH(":", InputForm[[#This Row],[Значение из списка (тип значения listed)]]) - 1), "")</f>
        <v>I-1-4</v>
      </c>
      <c r="E80" s="15" t="s">
        <v>2222</v>
      </c>
      <c r="F80" s="15" t="s">
        <v>2489</v>
      </c>
      <c r="G80" s="15" t="s">
        <v>2489</v>
      </c>
      <c r="H80" s="15"/>
      <c r="I80" s="16"/>
    </row>
    <row r="81" spans="1:9" s="17" customFormat="1" ht="6" customHeight="1" x14ac:dyDescent="0.3">
      <c r="A81" s="12" t="s">
        <v>832</v>
      </c>
      <c r="B81" s="13" t="str">
        <f>VLOOKUP(InputForm[[#This Row],[feature_id]],features[],3,FALSE)</f>
        <v>Возможность наложения нескольких залоговых форм</v>
      </c>
      <c r="C81" s="14" t="s">
        <v>3911</v>
      </c>
      <c r="D8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15" t="s">
        <v>2489</v>
      </c>
      <c r="F81" s="15" t="s">
        <v>2489</v>
      </c>
      <c r="G81" s="15" t="s">
        <v>2489</v>
      </c>
      <c r="H81" s="15"/>
      <c r="I81" s="16"/>
    </row>
    <row r="82" spans="1:9" s="17" customFormat="1" ht="6" customHeight="1" x14ac:dyDescent="0.3">
      <c r="A82" s="12" t="s">
        <v>834</v>
      </c>
      <c r="B82" s="13" t="str">
        <f>VLOOKUP(InputForm[[#This Row],[feature_id]],features[],3,FALSE)</f>
        <v>Двойные залоговые формы</v>
      </c>
      <c r="C82" s="14" t="s">
        <v>3911</v>
      </c>
      <c r="D8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15" t="s">
        <v>2489</v>
      </c>
      <c r="F82" s="15" t="s">
        <v>2489</v>
      </c>
      <c r="G82" s="15" t="s">
        <v>2489</v>
      </c>
      <c r="H82" s="15"/>
      <c r="I82" s="16"/>
    </row>
    <row r="83" spans="1:9" s="17" customFormat="1" ht="6" customHeight="1" x14ac:dyDescent="0.3">
      <c r="A83" s="12" t="s">
        <v>836</v>
      </c>
      <c r="B83" s="13" t="str">
        <f>VLOOKUP(InputForm[[#This Row],[feature_id]],features[],3,FALSE)</f>
        <v>Совпадение залоговых форм</v>
      </c>
      <c r="C83" s="14" t="s">
        <v>3911</v>
      </c>
      <c r="D8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15" t="s">
        <v>2489</v>
      </c>
      <c r="F83" s="15" t="s">
        <v>2489</v>
      </c>
      <c r="G83" s="15" t="s">
        <v>2489</v>
      </c>
      <c r="H83" s="15"/>
      <c r="I83" s="16"/>
    </row>
    <row r="84" spans="1:9" s="17" customFormat="1" ht="6" customHeight="1" x14ac:dyDescent="0.3">
      <c r="A84" s="12" t="s">
        <v>838</v>
      </c>
      <c r="B84" s="13" t="str">
        <f>VLOOKUP(InputForm[[#This Row],[feature_id]],features[],3,FALSE)</f>
        <v>Грамматические формы времени</v>
      </c>
      <c r="C84" s="14" t="s">
        <v>3911</v>
      </c>
      <c r="D8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15" t="s">
        <v>2489</v>
      </c>
      <c r="F84" s="15" t="s">
        <v>2489</v>
      </c>
      <c r="G84" s="15" t="s">
        <v>2489</v>
      </c>
      <c r="H84" s="15"/>
      <c r="I84" s="16"/>
    </row>
    <row r="85" spans="1:9" s="17" customFormat="1" ht="6" customHeight="1" x14ac:dyDescent="0.3">
      <c r="A85" s="12" t="s">
        <v>839</v>
      </c>
      <c r="B85" s="13" t="str">
        <f>VLOOKUP(InputForm[[#This Row],[feature_id]],features[],3,FALSE)</f>
        <v>Выражение вида и времени</v>
      </c>
      <c r="C85" s="14" t="s">
        <v>3911</v>
      </c>
      <c r="D8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15" t="s">
        <v>2489</v>
      </c>
      <c r="F85" s="15" t="s">
        <v>2489</v>
      </c>
      <c r="G85" s="15" t="s">
        <v>2489</v>
      </c>
      <c r="H85" s="15"/>
      <c r="I85" s="16"/>
    </row>
    <row r="86" spans="1:9" s="17" customFormat="1" ht="6" customHeight="1" x14ac:dyDescent="0.3">
      <c r="A86" s="12" t="s">
        <v>841</v>
      </c>
      <c r="B86" s="13" t="str">
        <f>VLOOKUP(InputForm[[#This Row],[feature_id]],features[],3,FALSE)</f>
        <v>Способ выражения временных категорий</v>
      </c>
      <c r="C86" s="14" t="s">
        <v>3911</v>
      </c>
      <c r="D8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15" t="s">
        <v>2489</v>
      </c>
      <c r="F86" s="15" t="s">
        <v>2489</v>
      </c>
      <c r="G86" s="15" t="s">
        <v>2489</v>
      </c>
      <c r="H86" s="15"/>
      <c r="I86" s="16"/>
    </row>
    <row r="87" spans="1:9" s="17" customFormat="1" ht="6" customHeight="1" x14ac:dyDescent="0.3">
      <c r="A87" s="12" t="s">
        <v>843</v>
      </c>
      <c r="B87" s="13" t="str">
        <f>VLOOKUP(InputForm[[#This Row],[feature_id]],features[],3,FALSE)</f>
        <v>Синкретическое выражение нескольких глагольных значений</v>
      </c>
      <c r="C87" s="14" t="s">
        <v>3911</v>
      </c>
      <c r="D8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15" t="s">
        <v>2489</v>
      </c>
      <c r="F87" s="15" t="s">
        <v>2489</v>
      </c>
      <c r="G87" s="15" t="s">
        <v>2489</v>
      </c>
      <c r="H87" s="15"/>
      <c r="I87" s="16"/>
    </row>
    <row r="88" spans="1:9" s="17" customFormat="1" ht="6" customHeight="1" x14ac:dyDescent="0.3">
      <c r="A88" s="12" t="s">
        <v>845</v>
      </c>
      <c r="B88" s="13" t="str">
        <f>VLOOKUP(InputForm[[#This Row],[feature_id]],features[],3,FALSE)</f>
        <v>Маркирование лица в глаголе в настоящем времени</v>
      </c>
      <c r="C88" s="14" t="s">
        <v>3911</v>
      </c>
      <c r="D8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15" t="s">
        <v>2489</v>
      </c>
      <c r="F88" s="15" t="s">
        <v>2489</v>
      </c>
      <c r="G88" s="15" t="s">
        <v>2489</v>
      </c>
      <c r="H88" s="15"/>
      <c r="I88" s="16"/>
    </row>
    <row r="89" spans="1:9" s="17" customFormat="1" ht="6" customHeight="1" x14ac:dyDescent="0.3">
      <c r="A89" s="12" t="s">
        <v>847</v>
      </c>
      <c r="B89" s="13" t="str">
        <f>VLOOKUP(InputForm[[#This Row],[feature_id]],features[],3,FALSE)</f>
        <v>Маркер переходности</v>
      </c>
      <c r="C89" s="14" t="s">
        <v>3911</v>
      </c>
      <c r="D8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15" t="s">
        <v>2489</v>
      </c>
      <c r="F89" s="15" t="s">
        <v>2489</v>
      </c>
      <c r="G89" s="15" t="s">
        <v>2489</v>
      </c>
      <c r="H89" s="15"/>
      <c r="I89" s="16"/>
    </row>
    <row r="90" spans="1:9" s="17" customFormat="1" ht="6" customHeight="1" x14ac:dyDescent="0.3">
      <c r="A90" s="12" t="s">
        <v>849</v>
      </c>
      <c r="B90" s="13" t="str">
        <f>VLOOKUP(InputForm[[#This Row],[feature_id]],features[],3,FALSE)</f>
        <v>Наличие местоименных слов</v>
      </c>
      <c r="C90" s="14" t="s">
        <v>3911</v>
      </c>
      <c r="D9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15" t="s">
        <v>2489</v>
      </c>
      <c r="F90" s="15" t="s">
        <v>2489</v>
      </c>
      <c r="G90" s="15" t="s">
        <v>2489</v>
      </c>
      <c r="H90" s="15"/>
      <c r="I90" s="16"/>
    </row>
    <row r="91" spans="1:9" s="17" customFormat="1" ht="6" customHeight="1" x14ac:dyDescent="0.3">
      <c r="A91" s="12" t="s">
        <v>852</v>
      </c>
      <c r="B91" s="13" t="str">
        <f>VLOOKUP(InputForm[[#This Row],[feature_id]],features[],3,FALSE)</f>
        <v>Способы выражения дейктических категорий</v>
      </c>
      <c r="C91" s="14" t="s">
        <v>3911</v>
      </c>
      <c r="D9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15" t="s">
        <v>2489</v>
      </c>
      <c r="F91" s="15" t="s">
        <v>2489</v>
      </c>
      <c r="G91" s="15" t="s">
        <v>2489</v>
      </c>
      <c r="H91" s="15"/>
      <c r="I91" s="16"/>
    </row>
    <row r="92" spans="1:9" s="17" customFormat="1" ht="6" customHeight="1" x14ac:dyDescent="0.3">
      <c r="A92" s="12" t="s">
        <v>854</v>
      </c>
      <c r="B92" s="13" t="str">
        <f>VLOOKUP(InputForm[[#This Row],[feature_id]],features[],3,FALSE)</f>
        <v>Служебные части речи, выражающие пространственную ориентацию действия</v>
      </c>
      <c r="C92" s="14" t="s">
        <v>3911</v>
      </c>
      <c r="D9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15" t="s">
        <v>2489</v>
      </c>
      <c r="F92" s="15" t="s">
        <v>2489</v>
      </c>
      <c r="G92" s="15" t="s">
        <v>2489</v>
      </c>
      <c r="H92" s="15"/>
      <c r="I92" s="16"/>
    </row>
    <row r="93" spans="1:9" s="17" customFormat="1" ht="6" customHeight="1" x14ac:dyDescent="0.3">
      <c r="A93" s="12" t="s">
        <v>856</v>
      </c>
      <c r="B93" s="13" t="str">
        <f>VLOOKUP(InputForm[[#This Row],[feature_id]],features[],3,FALSE)</f>
        <v>Знаменательные части речи, выражающие пространственную ориентацию действия</v>
      </c>
      <c r="C93" s="14" t="s">
        <v>3911</v>
      </c>
      <c r="D9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15" t="s">
        <v>2489</v>
      </c>
      <c r="F93" s="15" t="s">
        <v>2489</v>
      </c>
      <c r="G93" s="15" t="s">
        <v>2489</v>
      </c>
      <c r="H93" s="15"/>
      <c r="I93" s="16"/>
    </row>
    <row r="94" spans="1:9" s="17" customFormat="1" ht="6" customHeight="1" x14ac:dyDescent="0.3">
      <c r="A94" s="12" t="s">
        <v>858</v>
      </c>
      <c r="B94" s="13" t="str">
        <f>VLOOKUP(InputForm[[#This Row],[feature_id]],features[],3,FALSE)</f>
        <v>Морфологическое выражение определенности/неопределенности имени</v>
      </c>
      <c r="C94" s="14" t="s">
        <v>3911</v>
      </c>
      <c r="D9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15" t="s">
        <v>2489</v>
      </c>
      <c r="F94" s="15" t="s">
        <v>2489</v>
      </c>
      <c r="G94" s="15" t="s">
        <v>2489</v>
      </c>
      <c r="H94" s="15"/>
      <c r="I94" s="16"/>
    </row>
    <row r="95" spans="1:9" s="17" customFormat="1" ht="6" customHeight="1" x14ac:dyDescent="0.3">
      <c r="A95" s="12" t="s">
        <v>860</v>
      </c>
      <c r="B95" s="13" t="str">
        <f>VLOOKUP(InputForm[[#This Row],[feature_id]],features[],3,FALSE)</f>
        <v>Части речи, выражающие определенность/неопределенность имени</v>
      </c>
      <c r="C95" s="14" t="s">
        <v>3911</v>
      </c>
      <c r="D9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15" t="s">
        <v>2489</v>
      </c>
      <c r="F95" s="15" t="s">
        <v>2489</v>
      </c>
      <c r="G95" s="15" t="s">
        <v>2489</v>
      </c>
      <c r="H95" s="15"/>
      <c r="I95" s="16"/>
    </row>
    <row r="96" spans="1:9" s="17" customFormat="1" ht="6" customHeight="1" x14ac:dyDescent="0.3">
      <c r="A96" s="12" t="s">
        <v>861</v>
      </c>
      <c r="B96" s="13" t="str">
        <f>VLOOKUP(InputForm[[#This Row],[feature_id]],features[],3,FALSE)</f>
        <v>Способы выражения форм вежливости</v>
      </c>
      <c r="C96" s="14" t="s">
        <v>3911</v>
      </c>
      <c r="D9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15" t="s">
        <v>2489</v>
      </c>
      <c r="F96" s="15" t="s">
        <v>2489</v>
      </c>
      <c r="G96" s="15" t="s">
        <v>2489</v>
      </c>
      <c r="H96" s="15"/>
      <c r="I96" s="16"/>
    </row>
    <row r="97" spans="1:9" s="17" customFormat="1" ht="6" customHeight="1" x14ac:dyDescent="0.3">
      <c r="A97" s="12" t="s">
        <v>863</v>
      </c>
      <c r="B97" s="13" t="str">
        <f>VLOOKUP(InputForm[[#This Row],[feature_id]],features[],3,FALSE)</f>
        <v>Способы выражения отрицания</v>
      </c>
      <c r="C97" s="14" t="s">
        <v>3911</v>
      </c>
      <c r="D9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15" t="s">
        <v>2489</v>
      </c>
      <c r="F97" s="15" t="s">
        <v>2489</v>
      </c>
      <c r="G97" s="15" t="s">
        <v>2489</v>
      </c>
      <c r="H97" s="15"/>
      <c r="I97" s="16"/>
    </row>
    <row r="98" spans="1:9" s="17" customFormat="1" ht="6" customHeight="1" x14ac:dyDescent="0.3">
      <c r="A98" s="12" t="s">
        <v>865</v>
      </c>
      <c r="B98" s="13" t="str">
        <f>VLOOKUP(InputForm[[#This Row],[feature_id]],features[],3,FALSE)</f>
        <v>Позиция показателя отрицания</v>
      </c>
      <c r="C98" s="14" t="s">
        <v>3911</v>
      </c>
      <c r="D9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15" t="s">
        <v>2489</v>
      </c>
      <c r="F98" s="15" t="s">
        <v>2489</v>
      </c>
      <c r="G98" s="15" t="s">
        <v>2489</v>
      </c>
      <c r="H98" s="15"/>
      <c r="I98" s="16"/>
    </row>
    <row r="99" spans="1:9" s="17" customFormat="1" ht="6" customHeight="1" x14ac:dyDescent="0.3">
      <c r="A99" s="12" t="s">
        <v>867</v>
      </c>
      <c r="B99" s="13" t="str">
        <f>VLOOKUP(InputForm[[#This Row],[feature_id]],features[],3,FALSE)</f>
        <v>Склонение личных местоимений</v>
      </c>
      <c r="C99" s="14" t="s">
        <v>3911</v>
      </c>
      <c r="D9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15" t="s">
        <v>2489</v>
      </c>
      <c r="F99" s="15" t="s">
        <v>2489</v>
      </c>
      <c r="G99" s="15" t="s">
        <v>2489</v>
      </c>
      <c r="H99" s="15"/>
      <c r="I99" s="16"/>
    </row>
    <row r="100" spans="1:9" s="17" customFormat="1" ht="6" customHeight="1" x14ac:dyDescent="0.3">
      <c r="A100" s="12" t="s">
        <v>869</v>
      </c>
      <c r="B100" s="13" t="str">
        <f>VLOOKUP(InputForm[[#This Row],[feature_id]],features[],3,FALSE)</f>
        <v>Типы артиклей</v>
      </c>
      <c r="C100" s="14" t="s">
        <v>3911</v>
      </c>
      <c r="D10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15" t="s">
        <v>2489</v>
      </c>
      <c r="F100" s="15" t="s">
        <v>2489</v>
      </c>
      <c r="G100" s="15" t="s">
        <v>2489</v>
      </c>
      <c r="H100" s="15"/>
      <c r="I100" s="16"/>
    </row>
    <row r="101" spans="1:9" s="17" customFormat="1" ht="6" customHeight="1" x14ac:dyDescent="0.3">
      <c r="A101" s="12" t="s">
        <v>871</v>
      </c>
      <c r="B101" s="13" t="str">
        <f>VLOOKUP(InputForm[[#This Row],[feature_id]],features[],3,FALSE)</f>
        <v>Неопределенный артикль и числительное «один»</v>
      </c>
      <c r="C101" s="14" t="s">
        <v>933</v>
      </c>
      <c r="D10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15" t="s">
        <v>2489</v>
      </c>
      <c r="F101" s="15" t="s">
        <v>2489</v>
      </c>
      <c r="G101" s="15" t="s">
        <v>2489</v>
      </c>
      <c r="H101" s="15"/>
      <c r="I101" s="16"/>
    </row>
    <row r="102" spans="1:9" s="17" customFormat="1" ht="6" customHeight="1" x14ac:dyDescent="0.3">
      <c r="A102" s="12" t="s">
        <v>873</v>
      </c>
      <c r="B102" s="13" t="str">
        <f>VLOOKUP(InputForm[[#This Row],[feature_id]],features[],3,FALSE)</f>
        <v>Расположение артикля</v>
      </c>
      <c r="C102" s="14" t="s">
        <v>3911</v>
      </c>
      <c r="D10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15" t="s">
        <v>2489</v>
      </c>
      <c r="F102" s="15" t="s">
        <v>2489</v>
      </c>
      <c r="G102" s="15" t="s">
        <v>2489</v>
      </c>
      <c r="H102" s="15"/>
      <c r="I102" s="16"/>
    </row>
    <row r="103" spans="1:9" s="17" customFormat="1" ht="6" customHeight="1" x14ac:dyDescent="0.3">
      <c r="A103" s="12" t="s">
        <v>875</v>
      </c>
      <c r="B103" s="13" t="str">
        <f>VLOOKUP(InputForm[[#This Row],[feature_id]],features[],3,FALSE)</f>
        <v>Постановка артикля в именной группе</v>
      </c>
      <c r="C103" s="14" t="s">
        <v>3911</v>
      </c>
      <c r="D10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15" t="s">
        <v>2489</v>
      </c>
      <c r="F103" s="15" t="s">
        <v>2489</v>
      </c>
      <c r="G103" s="15" t="s">
        <v>2489</v>
      </c>
      <c r="H103" s="15"/>
      <c r="I103" s="16"/>
    </row>
    <row r="104" spans="1:9" s="17" customFormat="1" ht="6" customHeight="1" x14ac:dyDescent="0.3">
      <c r="A104" s="12" t="s">
        <v>877</v>
      </c>
      <c r="B104" s="13" t="str">
        <f>VLOOKUP(InputForm[[#This Row],[feature_id]],features[],3,FALSE)</f>
        <v>Грамматические категории, выражаемые артиклем</v>
      </c>
      <c r="C104" s="14" t="s">
        <v>3911</v>
      </c>
      <c r="D10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15" t="s">
        <v>2489</v>
      </c>
      <c r="F104" s="15" t="s">
        <v>2489</v>
      </c>
      <c r="G104" s="15" t="s">
        <v>2489</v>
      </c>
      <c r="H104" s="15"/>
      <c r="I104" s="16"/>
    </row>
    <row r="105" spans="1:9" s="17" customFormat="1" ht="6" customHeight="1" x14ac:dyDescent="0.3">
      <c r="A105" s="12" t="s">
        <v>879</v>
      </c>
      <c r="B105" s="13" t="str">
        <f>VLOOKUP(InputForm[[#This Row],[feature_id]],features[],3,FALSE)</f>
        <v>Количество типов спряжения глаголов</v>
      </c>
      <c r="C105" s="14" t="s">
        <v>3911</v>
      </c>
      <c r="D10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15" t="s">
        <v>2489</v>
      </c>
      <c r="F105" s="15" t="s">
        <v>2489</v>
      </c>
      <c r="G105" s="15" t="s">
        <v>2489</v>
      </c>
      <c r="H105" s="15"/>
      <c r="I105" s="16"/>
    </row>
    <row r="106" spans="1:9" s="17" customFormat="1" ht="6" customHeight="1" x14ac:dyDescent="0.3">
      <c r="A106" s="12" t="s">
        <v>881</v>
      </c>
      <c r="B106" s="13" t="str">
        <f>VLOOKUP(InputForm[[#This Row],[feature_id]],features[],3,FALSE)</f>
        <v>Типы глагольного согласования</v>
      </c>
      <c r="C106" s="14" t="s">
        <v>3911</v>
      </c>
      <c r="D10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15" t="s">
        <v>2489</v>
      </c>
      <c r="F106" s="15" t="s">
        <v>2489</v>
      </c>
      <c r="G106" s="15" t="s">
        <v>2489</v>
      </c>
      <c r="H106" s="15"/>
      <c r="I106" s="16"/>
    </row>
    <row r="107" spans="1:9" s="17" customFormat="1" ht="6" customHeight="1" x14ac:dyDescent="0.3">
      <c r="A107" s="12" t="s">
        <v>883</v>
      </c>
      <c r="B107" s="13" t="str">
        <f>VLOOKUP(InputForm[[#This Row],[feature_id]],features[],3,FALSE)</f>
        <v>Согласовательные категории, выражаемые причастием</v>
      </c>
      <c r="C107" s="14" t="s">
        <v>3911</v>
      </c>
      <c r="D10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15" t="s">
        <v>2489</v>
      </c>
      <c r="F107" s="15" t="s">
        <v>2489</v>
      </c>
      <c r="G107" s="15" t="s">
        <v>2489</v>
      </c>
      <c r="H107" s="15"/>
      <c r="I107" s="16"/>
    </row>
    <row r="108" spans="1:9" s="17" customFormat="1" ht="6" customHeight="1" x14ac:dyDescent="0.3">
      <c r="A108" s="12" t="s">
        <v>885</v>
      </c>
      <c r="B108" s="13" t="str">
        <f>VLOOKUP(InputForm[[#This Row],[feature_id]],features[],3,FALSE)</f>
        <v>Время, выражаемое причастием</v>
      </c>
      <c r="C108" s="14" t="s">
        <v>3911</v>
      </c>
      <c r="D10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15" t="s">
        <v>2489</v>
      </c>
      <c r="F108" s="15" t="s">
        <v>2489</v>
      </c>
      <c r="G108" s="15" t="s">
        <v>2489</v>
      </c>
      <c r="H108" s="15"/>
      <c r="I108" s="16"/>
    </row>
    <row r="109" spans="1:9" s="17" customFormat="1" ht="6" customHeight="1" x14ac:dyDescent="0.3">
      <c r="A109" s="12" t="s">
        <v>887</v>
      </c>
      <c r="B109" s="13" t="str">
        <f>VLOOKUP(InputForm[[#This Row],[feature_id]],features[],3,FALSE)</f>
        <v>Грамматические категории, выражаемые наречием</v>
      </c>
      <c r="C109" s="14" t="s">
        <v>3911</v>
      </c>
      <c r="D10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15" t="s">
        <v>2489</v>
      </c>
      <c r="F109" s="15" t="s">
        <v>2489</v>
      </c>
      <c r="G109" s="15" t="s">
        <v>2489</v>
      </c>
      <c r="H109" s="15"/>
      <c r="I109" s="16"/>
    </row>
    <row r="110" spans="1:9" s="17" customFormat="1" ht="6" customHeight="1" x14ac:dyDescent="0.3">
      <c r="A110" s="12" t="s">
        <v>889</v>
      </c>
      <c r="B110" s="13" t="str">
        <f>VLOOKUP(InputForm[[#This Row],[feature_id]],features[],3,FALSE)</f>
        <v>Согласовательные категории, выражаемые прилагательным</v>
      </c>
      <c r="C110" s="14" t="s">
        <v>3911</v>
      </c>
      <c r="D11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15" t="s">
        <v>2489</v>
      </c>
      <c r="F110" s="15" t="s">
        <v>2489</v>
      </c>
      <c r="G110" s="15" t="s">
        <v>2489</v>
      </c>
      <c r="H110" s="15"/>
      <c r="I110" s="16"/>
    </row>
    <row r="111" spans="1:9" s="17" customFormat="1" ht="6" customHeight="1" x14ac:dyDescent="0.3">
      <c r="A111" s="12" t="s">
        <v>891</v>
      </c>
      <c r="B111" s="13" t="str">
        <f>VLOOKUP(InputForm[[#This Row],[feature_id]],features[],3,FALSE)</f>
        <v>Возможность кумулятивного выражения нескольких категорий в прилагательном</v>
      </c>
      <c r="C111" s="14" t="s">
        <v>3911</v>
      </c>
      <c r="D11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15" t="s">
        <v>2489</v>
      </c>
      <c r="F111" s="15" t="s">
        <v>2489</v>
      </c>
      <c r="G111" s="15" t="s">
        <v>2489</v>
      </c>
      <c r="H111" s="15"/>
      <c r="I111" s="16"/>
    </row>
    <row r="112" spans="1:9" s="17" customFormat="1" ht="6" customHeight="1" x14ac:dyDescent="0.3">
      <c r="A112" s="12" t="s">
        <v>893</v>
      </c>
      <c r="B112" s="13" t="str">
        <f>VLOOKUP(InputForm[[#This Row],[feature_id]],features[],3,FALSE)</f>
        <v>Атрибутивное согласование прилагательных</v>
      </c>
      <c r="C112" s="14" t="s">
        <v>3911</v>
      </c>
      <c r="D1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15" t="s">
        <v>2489</v>
      </c>
      <c r="F112" s="15" t="s">
        <v>2489</v>
      </c>
      <c r="G112" s="15" t="s">
        <v>2489</v>
      </c>
      <c r="H112" s="15"/>
      <c r="I112" s="16"/>
    </row>
    <row r="113" spans="1:9" s="17" customFormat="1" ht="6" customHeight="1" x14ac:dyDescent="0.3">
      <c r="A113" s="12" t="s">
        <v>895</v>
      </c>
      <c r="B113" s="13" t="str">
        <f>VLOOKUP(InputForm[[#This Row],[feature_id]],features[],3,FALSE)</f>
        <v>Типы атрибутивного согласования</v>
      </c>
      <c r="C113" s="14" t="s">
        <v>3911</v>
      </c>
      <c r="D1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15" t="s">
        <v>2489</v>
      </c>
      <c r="F113" s="15" t="s">
        <v>2489</v>
      </c>
      <c r="G113" s="15" t="s">
        <v>2489</v>
      </c>
      <c r="H113" s="15"/>
      <c r="I113" s="16"/>
    </row>
    <row r="114" spans="1:9" s="17" customFormat="1" ht="6" customHeight="1" x14ac:dyDescent="0.3">
      <c r="A114" s="12" t="s">
        <v>897</v>
      </c>
      <c r="B114" s="13" t="str">
        <f>VLOOKUP(InputForm[[#This Row],[feature_id]],features[],3,FALSE)</f>
        <v>Изменяемые грамматические категории, выражаемые существительным</v>
      </c>
      <c r="C114" s="14" t="s">
        <v>3911</v>
      </c>
      <c r="D11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15" t="s">
        <v>2489</v>
      </c>
      <c r="F114" s="15" t="s">
        <v>2489</v>
      </c>
      <c r="G114" s="15" t="s">
        <v>2489</v>
      </c>
      <c r="H114" s="15"/>
      <c r="I114" s="16"/>
    </row>
    <row r="115" spans="1:9" s="17" customFormat="1" ht="6" customHeight="1" x14ac:dyDescent="0.3">
      <c r="A115" s="12" t="s">
        <v>899</v>
      </c>
      <c r="B115" s="13" t="str">
        <f>VLOOKUP(InputForm[[#This Row],[feature_id]],features[],3,FALSE)</f>
        <v>Кумулятивное выражение нескольких категорий в существительном</v>
      </c>
      <c r="C115" s="14" t="s">
        <v>3911</v>
      </c>
      <c r="D11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15" t="s">
        <v>2489</v>
      </c>
      <c r="F115" s="15" t="s">
        <v>2489</v>
      </c>
      <c r="G115" s="15" t="s">
        <v>2489</v>
      </c>
      <c r="H115" s="15"/>
      <c r="I115" s="16"/>
    </row>
    <row r="116" spans="1:9" s="17" customFormat="1" ht="6" customHeight="1" x14ac:dyDescent="0.3">
      <c r="A116" s="12" t="s">
        <v>901</v>
      </c>
      <c r="B116" s="13" t="str">
        <f>VLOOKUP(InputForm[[#This Row],[feature_id]],features[],3,FALSE)</f>
        <v>Средства словоизменения</v>
      </c>
      <c r="C116" s="14" t="s">
        <v>3911</v>
      </c>
      <c r="D11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15" t="s">
        <v>2489</v>
      </c>
      <c r="F116" s="15" t="s">
        <v>2489</v>
      </c>
      <c r="G116" s="15" t="s">
        <v>2489</v>
      </c>
      <c r="H116" s="15"/>
      <c r="I116" s="16"/>
    </row>
    <row r="117" spans="1:9" s="17" customFormat="1" ht="6" customHeight="1" x14ac:dyDescent="0.3">
      <c r="A117" s="12" t="s">
        <v>3332</v>
      </c>
      <c r="B117" s="13" t="str">
        <f>VLOOKUP(InputForm[[#This Row],[feature_id]],features[],3,FALSE)</f>
        <v>Модель словоформы</v>
      </c>
      <c r="C117" s="14" t="s">
        <v>3911</v>
      </c>
      <c r="D11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15" t="s">
        <v>2489</v>
      </c>
      <c r="F117" s="15" t="s">
        <v>2489</v>
      </c>
      <c r="G117" s="15" t="s">
        <v>2489</v>
      </c>
      <c r="H117" s="15"/>
      <c r="I117" s="16"/>
    </row>
    <row r="118" spans="1:9" s="17" customFormat="1" ht="6" customHeight="1" x14ac:dyDescent="0.3">
      <c r="A118" s="12" t="s">
        <v>903</v>
      </c>
      <c r="B118" s="13" t="str">
        <f>VLOOKUP(InputForm[[#This Row],[feature_id]],features[],3,FALSE)</f>
        <v>Способы словообразования</v>
      </c>
      <c r="C118" s="14" t="s">
        <v>3910</v>
      </c>
      <c r="D118" s="12" t="str">
        <f>IFERROR(LEFT(InputForm[[#This Row],[Значение из списка (тип значения listed)]], SEARCH(":", InputForm[[#This Row],[Значение из списка (тип значения listed)]]) - 1), "")</f>
        <v>L-1-12</v>
      </c>
      <c r="E118" s="15" t="s">
        <v>2406</v>
      </c>
      <c r="F118" s="15" t="s">
        <v>2489</v>
      </c>
      <c r="G118" s="15" t="s">
        <v>2489</v>
      </c>
      <c r="H118" s="15"/>
      <c r="I118" s="16"/>
    </row>
    <row r="119" spans="1:9" s="17" customFormat="1" ht="6" customHeight="1" x14ac:dyDescent="0.3">
      <c r="A119" s="12" t="s">
        <v>905</v>
      </c>
      <c r="B119" s="13" t="str">
        <f>VLOOKUP(InputForm[[#This Row],[feature_id]],features[],3,FALSE)</f>
        <v>Аффиксы, участвующие в словообразовании</v>
      </c>
      <c r="C119" s="14" t="s">
        <v>3911</v>
      </c>
      <c r="D11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15" t="s">
        <v>2489</v>
      </c>
      <c r="F119" s="15" t="s">
        <v>2489</v>
      </c>
      <c r="G119" s="15" t="s">
        <v>2489</v>
      </c>
      <c r="H119" s="15"/>
      <c r="I119" s="16"/>
    </row>
    <row r="120" spans="1:9" s="17" customFormat="1" ht="6" customHeight="1" x14ac:dyDescent="0.3">
      <c r="A120" s="12" t="s">
        <v>907</v>
      </c>
      <c r="B120" s="13" t="str">
        <f>VLOOKUP(InputForm[[#This Row],[feature_id]],features[],3,FALSE)</f>
        <v>Отношения между соединяемыми основами при сложении основ</v>
      </c>
      <c r="C120" s="14" t="s">
        <v>3911</v>
      </c>
      <c r="D1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15" t="s">
        <v>2489</v>
      </c>
      <c r="F120" s="15" t="s">
        <v>2489</v>
      </c>
      <c r="G120" s="15" t="s">
        <v>2489</v>
      </c>
      <c r="H120" s="15"/>
      <c r="I120" s="16"/>
    </row>
    <row r="121" spans="1:9" s="17" customFormat="1" ht="6" customHeight="1" x14ac:dyDescent="0.3">
      <c r="A121" s="12" t="s">
        <v>909</v>
      </c>
      <c r="B121" s="13" t="str">
        <f>VLOOKUP(InputForm[[#This Row],[feature_id]],features[],3,FALSE)</f>
        <v>Стратегия кодирования глагольных актантов</v>
      </c>
      <c r="C121" s="14" t="s">
        <v>3910</v>
      </c>
      <c r="D121" s="12" t="str">
        <f>IFERROR(LEFT(InputForm[[#This Row],[Значение из списка (тип значения listed)]], SEARCH(":", InputForm[[#This Row],[Значение из списка (тип значения listed)]]) - 1), "")</f>
        <v>M-1-7</v>
      </c>
      <c r="E121" s="15" t="s">
        <v>2449</v>
      </c>
      <c r="F121" s="15" t="s">
        <v>2489</v>
      </c>
      <c r="G121" s="15" t="s">
        <v>2489</v>
      </c>
      <c r="H121" s="15"/>
      <c r="I121" s="16"/>
    </row>
    <row r="122" spans="1:9" s="17" customFormat="1" ht="6" customHeight="1" x14ac:dyDescent="0.3">
      <c r="A122" s="12" t="s">
        <v>911</v>
      </c>
      <c r="B122" s="13" t="str">
        <f>VLOOKUP(InputForm[[#This Row],[feature_id]],features[],3,FALSE)</f>
        <v>Фиксированность порядка слов</v>
      </c>
      <c r="C122" s="14" t="s">
        <v>3910</v>
      </c>
      <c r="D122" s="12" t="str">
        <f>IFERROR(LEFT(InputForm[[#This Row],[Значение из списка (тип значения listed)]], SEARCH(":", InputForm[[#This Row],[Значение из списка (тип значения listed)]]) - 1), "")</f>
        <v>M-2-2</v>
      </c>
      <c r="E122" s="15" t="s">
        <v>2453</v>
      </c>
      <c r="F122" s="15" t="s">
        <v>2489</v>
      </c>
      <c r="G122" s="15" t="s">
        <v>2489</v>
      </c>
      <c r="H122" s="15"/>
      <c r="I122" s="16"/>
    </row>
    <row r="123" spans="1:9" s="17" customFormat="1" ht="6" customHeight="1" x14ac:dyDescent="0.3">
      <c r="A123" s="12" t="s">
        <v>913</v>
      </c>
      <c r="B123" s="13" t="str">
        <f>VLOOKUP(InputForm[[#This Row],[feature_id]],features[],3,FALSE)</f>
        <v>Основной порядок слов в предложении</v>
      </c>
      <c r="C123" s="14" t="s">
        <v>3910</v>
      </c>
      <c r="D123" s="12" t="str">
        <f>IFERROR(LEFT(InputForm[[#This Row],[Значение из списка (тип значения listed)]], SEARCH(":", InputForm[[#This Row],[Значение из списка (тип значения listed)]]) - 1), "")</f>
        <v>M-3-2</v>
      </c>
      <c r="E123" s="15" t="s">
        <v>2455</v>
      </c>
      <c r="F123" s="15" t="s">
        <v>2489</v>
      </c>
      <c r="G123" s="15" t="s">
        <v>2489</v>
      </c>
      <c r="H123" s="15"/>
      <c r="I123" s="16"/>
    </row>
    <row r="124" spans="1:9" s="17" customFormat="1" ht="6" customHeight="1" x14ac:dyDescent="0.3">
      <c r="A124" s="12" t="s">
        <v>915</v>
      </c>
      <c r="B124" s="13" t="str">
        <f>VLOOKUP(InputForm[[#This Row],[feature_id]],features[],3,FALSE)</f>
        <v>Порядок определения и определяемого</v>
      </c>
      <c r="C124" s="14" t="s">
        <v>3910</v>
      </c>
      <c r="D124" s="12" t="str">
        <f>IFERROR(LEFT(InputForm[[#This Row],[Значение из списка (тип значения listed)]], SEARCH(":", InputForm[[#This Row],[Значение из списка (тип значения listed)]]) - 1), "")</f>
        <v>M-4-1</v>
      </c>
      <c r="E124" s="15" t="s">
        <v>2466</v>
      </c>
      <c r="F124" s="15" t="s">
        <v>2489</v>
      </c>
      <c r="G124" s="15" t="s">
        <v>2489</v>
      </c>
      <c r="H124" s="15"/>
      <c r="I124" s="16"/>
    </row>
    <row r="125" spans="1:9" s="17" customFormat="1" ht="6" customHeight="1" x14ac:dyDescent="0.3">
      <c r="A125" s="12" t="s">
        <v>917</v>
      </c>
      <c r="B125" s="13" t="str">
        <f>VLOOKUP(InputForm[[#This Row],[feature_id]],features[],3,FALSE)</f>
        <v>Опущение местоименного подлежащего в неэллиптических предложениях</v>
      </c>
      <c r="C125" s="14" t="s">
        <v>3911</v>
      </c>
      <c r="D1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15" t="s">
        <v>2489</v>
      </c>
      <c r="F125" s="15" t="s">
        <v>2489</v>
      </c>
      <c r="G125" s="15" t="s">
        <v>2489</v>
      </c>
      <c r="H125" s="15"/>
      <c r="I125" s="16"/>
    </row>
    <row r="126" spans="1:9" s="17" customFormat="1" ht="6" customHeight="1" x14ac:dyDescent="0.3">
      <c r="A126" s="12" t="s">
        <v>919</v>
      </c>
      <c r="B126" s="13" t="str">
        <f>VLOOKUP(InputForm[[#This Row],[feature_id]],features[],3,FALSE)</f>
        <v>Линейный порядок компонентов в сложном предложении</v>
      </c>
      <c r="C126" s="14" t="s">
        <v>3911</v>
      </c>
      <c r="D1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15" t="s">
        <v>2489</v>
      </c>
      <c r="F126" s="15" t="s">
        <v>2489</v>
      </c>
      <c r="G126" s="15" t="s">
        <v>2489</v>
      </c>
      <c r="H126" s="15"/>
      <c r="I126" s="16"/>
    </row>
    <row r="127" spans="1:9" s="17" customFormat="1" ht="6" customHeight="1" x14ac:dyDescent="0.3">
      <c r="A127" s="12" t="s">
        <v>921</v>
      </c>
      <c r="B127" s="13" t="str">
        <f>VLOOKUP(InputForm[[#This Row],[feature_id]],features[],3,FALSE)</f>
        <v>Особенности подчиненного компонента в сложном предложении</v>
      </c>
      <c r="C127" s="14" t="s">
        <v>3911</v>
      </c>
      <c r="D1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15" t="s">
        <v>2489</v>
      </c>
      <c r="F127" s="15" t="s">
        <v>2489</v>
      </c>
      <c r="G127" s="15" t="s">
        <v>2489</v>
      </c>
      <c r="H127" s="15"/>
      <c r="I127" s="16"/>
    </row>
    <row r="128" spans="1:9" s="17" customFormat="1" ht="6" customHeight="1" x14ac:dyDescent="0.3">
      <c r="A128" s="12" t="s">
        <v>923</v>
      </c>
      <c r="B128" s="17" t="str">
        <f>VLOOKUP(InputForm[[#This Row],[feature_id]],features[],3,FALSE)</f>
        <v>Оформление сказуемого в придаточном предложении</v>
      </c>
      <c r="C128" s="14" t="s">
        <v>3911</v>
      </c>
      <c r="D128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14" t="s">
        <v>2489</v>
      </c>
      <c r="F128" s="14" t="s">
        <v>2489</v>
      </c>
      <c r="G128" s="15" t="s">
        <v>2489</v>
      </c>
      <c r="H128" s="14"/>
      <c r="I128" s="16"/>
    </row>
    <row r="129" spans="1:9" s="17" customFormat="1" ht="6" customHeight="1" x14ac:dyDescent="0.3">
      <c r="A129" s="12" t="s">
        <v>924</v>
      </c>
      <c r="B129" s="17" t="str">
        <f>VLOOKUP(InputForm[[#This Row],[feature_id]],features[],3,FALSE)</f>
        <v>Тип построения сложного предложения</v>
      </c>
      <c r="C129" s="14" t="s">
        <v>3910</v>
      </c>
      <c r="D129" s="14" t="str">
        <f>IFERROR(LEFT(InputForm[[#This Row],[Значение из списка (тип значения listed)]], SEARCH(":", InputForm[[#This Row],[Значение из списка (тип значения listed)]]) - 1), "")</f>
        <v>N-4-4</v>
      </c>
      <c r="E129" s="14" t="s">
        <v>2484</v>
      </c>
      <c r="F129" s="14" t="s">
        <v>2489</v>
      </c>
      <c r="G129" s="15" t="s">
        <v>2489</v>
      </c>
      <c r="H129" s="14"/>
      <c r="I129" s="16"/>
    </row>
    <row r="130" spans="1:9" ht="6" customHeight="1" x14ac:dyDescent="0.3">
      <c r="A130" s="12" t="s">
        <v>926</v>
      </c>
      <c r="B130" s="12" t="str">
        <f>VLOOKUP(InputForm[[#This Row],[feature_id]],features[],3,FALSE)</f>
        <v>Тип связи между элементами сложного предложения</v>
      </c>
      <c r="C130" s="14" t="s">
        <v>3910</v>
      </c>
      <c r="D130" s="12" t="str">
        <f>IFERROR(LEFT(InputForm[[#This Row],[Значение из списка (тип значения listed)]], SEARCH(":", InputForm[[#This Row],[Значение из списка (тип значения listed)]]) - 1), "")</f>
        <v>N-5-3</v>
      </c>
      <c r="E130" s="15" t="s">
        <v>2488</v>
      </c>
      <c r="F130" s="15" t="s">
        <v>2489</v>
      </c>
      <c r="G130" s="15" t="s">
        <v>2489</v>
      </c>
      <c r="H130" s="15"/>
      <c r="I130" s="16"/>
    </row>
    <row r="131" spans="1:9" ht="30" customHeight="1" x14ac:dyDescent="0.3">
      <c r="A131" s="2" t="s">
        <v>929</v>
      </c>
      <c r="B131" s="7"/>
      <c r="C131" s="8" t="s">
        <v>933</v>
      </c>
      <c r="D1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8" t="s">
        <v>2489</v>
      </c>
      <c r="F131" s="8" t="s">
        <v>2489</v>
      </c>
      <c r="G131" s="3" t="s">
        <v>3912</v>
      </c>
      <c r="H131" s="3"/>
      <c r="I131" s="6"/>
    </row>
  </sheetData>
  <sheetProtection formatColumns="0" autoFilter="0"/>
  <conditionalFormatting sqref="A1:I200">
    <cfRule type="expression" dxfId="30" priority="16">
      <formula>MID($A1,1,1)&lt;&gt;MID($A2,1,1)</formula>
    </cfRule>
  </conditionalFormatting>
  <conditionalFormatting sqref="C2:C130">
    <cfRule type="expression" dxfId="29" priority="8">
      <formula>ISBLANK(C2)</formula>
    </cfRule>
  </conditionalFormatting>
  <conditionalFormatting sqref="E2:E130">
    <cfRule type="expression" dxfId="28" priority="18">
      <formula>AND(OR($C2="not_stated",$C2="explicit_gap",$C2="not_applicable"),$E2&lt;&gt;"")</formula>
    </cfRule>
    <cfRule type="expression" dxfId="27" priority="19">
      <formula>AND(E2="",C2="listed")</formula>
    </cfRule>
    <cfRule type="expression" dxfId="26" priority="20">
      <formula>$C2="custom"</formula>
    </cfRule>
  </conditionalFormatting>
  <conditionalFormatting sqref="D2:D130">
    <cfRule type="expression" dxfId="25" priority="36">
      <formula>AND(OR($C2="not_stated",$C2="explicit_gap",$C2="not_applicable"),$E2&lt;&gt;"")</formula>
    </cfRule>
    <cfRule type="expression" dxfId="24" priority="37">
      <formula>AND(D2="",C2="listed")</formula>
    </cfRule>
    <cfRule type="expression" dxfId="23" priority="38">
      <formula>$C2="custom"</formula>
    </cfRule>
  </conditionalFormatting>
  <conditionalFormatting sqref="E2:F130">
    <cfRule type="expression" dxfId="22" priority="41">
      <formula>AND($E2&lt;&gt;"",$F2&lt;&gt;"")</formula>
    </cfRule>
    <cfRule type="expression" dxfId="21" priority="42">
      <formula>OR($C2="not_stated",$C2="explicit_gap",$C2="not_applicable")</formula>
    </cfRule>
  </conditionalFormatting>
  <conditionalFormatting sqref="F2:F130">
    <cfRule type="expression" dxfId="20" priority="23">
      <formula>AND(F2&lt;&gt;"",C2&lt;&gt;"custom")</formula>
    </cfRule>
    <cfRule type="expression" dxfId="19" priority="45">
      <formula>AND(OR($C2="not_stated",$C2="explicit_gap",$C2="not_applicable"),$F2&lt;&gt;"")</formula>
    </cfRule>
    <cfRule type="expression" dxfId="18" priority="46">
      <formula>AND(F2="",C2="custom")</formula>
    </cfRule>
    <cfRule type="expression" dxfId="17" priority="47">
      <formula>$C2="listed"</formula>
    </cfRule>
  </conditionalFormatting>
  <conditionalFormatting sqref="G1048576:I1048576 A1048576:E1048576">
    <cfRule type="expression" dxfId="16" priority="52">
      <formula>MID(#REF!,1,1)&lt;&gt;MID($A1,1,1)</formula>
    </cfRule>
  </conditionalFormatting>
  <dataValidations count="130">
    <dataValidation type="list" allowBlank="1" showInputMessage="1" showErrorMessage="1" sqref="E2">
      <formula1>INDIRECT("features_listed_values!$D$2:$D$5")</formula1>
    </dataValidation>
    <dataValidation type="list" allowBlank="1" showInputMessage="1" showErrorMessage="1" sqref="E3">
      <formula1>INDIRECT("features_listed_values!$D$6:$D$12")</formula1>
    </dataValidation>
    <dataValidation type="list" allowBlank="1" showInputMessage="1" showErrorMessage="1" sqref="E4">
      <formula1>INDIRECT("features_listed_values!$D$13:$D$17")</formula1>
    </dataValidation>
    <dataValidation type="list" allowBlank="1" showInputMessage="1" showErrorMessage="1" sqref="E5">
      <formula1>INDIRECT("features_listed_values!$D$18:$D$20")</formula1>
    </dataValidation>
    <dataValidation type="list" allowBlank="1" showInputMessage="1" showErrorMessage="1" sqref="E6">
      <formula1>INDIRECT("features_listed_values!$D$21:$D$22")</formula1>
    </dataValidation>
    <dataValidation type="list" allowBlank="1" showInputMessage="1" showErrorMessage="1" sqref="E7">
      <formula1>INDIRECT("features_listed_values!$D$23:$D$24")</formula1>
    </dataValidation>
    <dataValidation type="list" allowBlank="1" showInputMessage="1" showErrorMessage="1" sqref="E8">
      <formula1>INDIRECT("features_listed_values!$D$25:$D$26")</formula1>
    </dataValidation>
    <dataValidation type="list" allowBlank="1" showInputMessage="1" showErrorMessage="1" sqref="E9">
      <formula1>INDIRECT("features_listed_values!$D$27:$D$33")</formula1>
    </dataValidation>
    <dataValidation type="list" allowBlank="1" showInputMessage="1" showErrorMessage="1" sqref="E10">
      <formula1>INDIRECT("features_listed_values!$D$34:$D$35")</formula1>
    </dataValidation>
    <dataValidation type="list" allowBlank="1" showInputMessage="1" showErrorMessage="1" sqref="E11">
      <formula1>INDIRECT("features_listed_values!$D$36:$D$42")</formula1>
    </dataValidation>
    <dataValidation type="list" allowBlank="1" showInputMessage="1" showErrorMessage="1" sqref="E12">
      <formula1>INDIRECT("features_listed_values!$D$43:$D$50")</formula1>
    </dataValidation>
    <dataValidation type="list" allowBlank="1" showInputMessage="1" showErrorMessage="1" sqref="E13">
      <formula1>INDIRECT("features_listed_values!$D$51:$D$58")</formula1>
    </dataValidation>
    <dataValidation type="list" allowBlank="1" showInputMessage="1" showErrorMessage="1" sqref="E14">
      <formula1>INDIRECT("features_listed_values!$D$59:$D$61")</formula1>
    </dataValidation>
    <dataValidation type="list" allowBlank="1" showInputMessage="1" showErrorMessage="1" sqref="E15">
      <formula1>INDIRECT("features_listed_values!$D$62:$D$66")</formula1>
    </dataValidation>
    <dataValidation type="list" allowBlank="1" showInputMessage="1" showErrorMessage="1" sqref="E16">
      <formula1>INDIRECT("features_listed_values!$D$67:$D$86")</formula1>
    </dataValidation>
    <dataValidation type="list" allowBlank="1" showInputMessage="1" showErrorMessage="1" sqref="E17">
      <formula1>INDIRECT("features_listed_values!$D$87:$D$89")</formula1>
    </dataValidation>
    <dataValidation type="list" allowBlank="1" showInputMessage="1" showErrorMessage="1" sqref="E126">
      <formula1>INDIRECT("features_listed_values!$D$1202:$D$1205")</formula1>
    </dataValidation>
    <dataValidation type="list" allowBlank="1" showInputMessage="1" showErrorMessage="1" sqref="E18">
      <formula1>INDIRECT("features_listed_values!$D$90:$D$93")</formula1>
    </dataValidation>
    <dataValidation type="list" allowBlank="1" showInputMessage="1" showErrorMessage="1" sqref="E19">
      <formula1>INDIRECT("features_listed_values!$D$94:$D$95")</formula1>
    </dataValidation>
    <dataValidation type="list" allowBlank="1" showInputMessage="1" showErrorMessage="1" sqref="E20">
      <formula1>INDIRECT("features_listed_values!$D$96:$D$127")</formula1>
    </dataValidation>
    <dataValidation type="list" allowBlank="1" showInputMessage="1" showErrorMessage="1" sqref="E21">
      <formula1>INDIRECT("features_listed_values!$D$128:$D$130")</formula1>
    </dataValidation>
    <dataValidation type="list" allowBlank="1" showInputMessage="1" showErrorMessage="1" sqref="E22">
      <formula1>INDIRECT("features_listed_values!$D$131:$D$133")</formula1>
    </dataValidation>
    <dataValidation type="list" allowBlank="1" showInputMessage="1" showErrorMessage="1" sqref="E23">
      <formula1>INDIRECT("features_listed_values!$D$134:$D$143")</formula1>
    </dataValidation>
    <dataValidation type="list" allowBlank="1" showInputMessage="1" showErrorMessage="1" sqref="E24">
      <formula1>INDIRECT("features_listed_values!$D$144:$D$158")</formula1>
    </dataValidation>
    <dataValidation type="list" allowBlank="1" showInputMessage="1" showErrorMessage="1" sqref="E25">
      <formula1>INDIRECT("features_listed_values!$D$159:$D$178")</formula1>
    </dataValidation>
    <dataValidation type="list" allowBlank="1" showInputMessage="1" showErrorMessage="1" sqref="E26">
      <formula1>INDIRECT("features_listed_values!$D$179:$D$197")</formula1>
    </dataValidation>
    <dataValidation type="list" allowBlank="1" showInputMessage="1" showErrorMessage="1" sqref="E27">
      <formula1>INDIRECT("features_listed_values!$D$198:$D$198")</formula1>
    </dataValidation>
    <dataValidation type="list" allowBlank="1" showInputMessage="1" showErrorMessage="1" sqref="E28">
      <formula1>INDIRECT("features_listed_values!$D$199:$D$202")</formula1>
    </dataValidation>
    <dataValidation type="list" allowBlank="1" showInputMessage="1" showErrorMessage="1" sqref="E29">
      <formula1>INDIRECT("features_listed_values!$D$203:$D$208")</formula1>
    </dataValidation>
    <dataValidation type="list" allowBlank="1" showInputMessage="1" showErrorMessage="1" sqref="E30">
      <formula1>INDIRECT("features_listed_values!$D$209:$D$211")</formula1>
    </dataValidation>
    <dataValidation type="list" allowBlank="1" showInputMessage="1" showErrorMessage="1" sqref="E31">
      <formula1>INDIRECT("features_listed_values!$D$212:$D$216")</formula1>
    </dataValidation>
    <dataValidation type="list" allowBlank="1" showInputMessage="1" showErrorMessage="1" sqref="E32">
      <formula1>INDIRECT("features_listed_values!$D$217:$D$235")</formula1>
    </dataValidation>
    <dataValidation type="list" allowBlank="1" showInputMessage="1" showErrorMessage="1" sqref="E33">
      <formula1>INDIRECT("features_listed_values!$D$236:$D$239")</formula1>
    </dataValidation>
    <dataValidation type="list" allowBlank="1" showInputMessage="1" showErrorMessage="1" sqref="E34">
      <formula1>INDIRECT("features_listed_values!$D$240:$D$251")</formula1>
    </dataValidation>
    <dataValidation type="list" allowBlank="1" showInputMessage="1" showErrorMessage="1" sqref="E35">
      <formula1>INDIRECT("features_listed_values!$D$252:$D$256")</formula1>
    </dataValidation>
    <dataValidation type="list" allowBlank="1" showInputMessage="1" showErrorMessage="1" sqref="E36">
      <formula1>INDIRECT("features_listed_values!$D$257:$D$262")</formula1>
    </dataValidation>
    <dataValidation type="list" allowBlank="1" showInputMessage="1" showErrorMessage="1" sqref="E37">
      <formula1>INDIRECT("features_listed_values!$D$263:$D$271")</formula1>
    </dataValidation>
    <dataValidation type="list" allowBlank="1" showInputMessage="1" showErrorMessage="1" sqref="E38">
      <formula1>INDIRECT("features_listed_values!$D$272:$D$287")</formula1>
    </dataValidation>
    <dataValidation type="list" allowBlank="1" showInputMessage="1" showErrorMessage="1" sqref="E39">
      <formula1>INDIRECT("features_listed_values!$D$288:$D$300")</formula1>
    </dataValidation>
    <dataValidation type="list" allowBlank="1" showInputMessage="1" showErrorMessage="1" sqref="E40">
      <formula1>INDIRECT("features_listed_values!$D$301:$D$309")</formula1>
    </dataValidation>
    <dataValidation type="list" allowBlank="1" showInputMessage="1" showErrorMessage="1" sqref="E41">
      <formula1>INDIRECT("features_listed_values!$D$310:$D$318")</formula1>
    </dataValidation>
    <dataValidation type="list" allowBlank="1" showInputMessage="1" showErrorMessage="1" sqref="E42">
      <formula1>INDIRECT("features_listed_values!$D$319:$D$323")</formula1>
    </dataValidation>
    <dataValidation type="list" allowBlank="1" showInputMessage="1" showErrorMessage="1" sqref="E43">
      <formula1>INDIRECT("features_listed_values!$D$324:$D$328")</formula1>
    </dataValidation>
    <dataValidation type="list" allowBlank="1" showInputMessage="1" showErrorMessage="1" sqref="E44">
      <formula1>INDIRECT("features_listed_values!$D$329:$D$341")</formula1>
    </dataValidation>
    <dataValidation type="list" allowBlank="1" showInputMessage="1" showErrorMessage="1" sqref="E45">
      <formula1>INDIRECT("features_listed_values!$D$342:$D$354")</formula1>
    </dataValidation>
    <dataValidation type="list" allowBlank="1" showInputMessage="1" showErrorMessage="1" sqref="E46">
      <formula1>INDIRECT("features_listed_values!$D$355:$D$361")</formula1>
    </dataValidation>
    <dataValidation type="list" allowBlank="1" showInputMessage="1" showErrorMessage="1" sqref="E47">
      <formula1>INDIRECT("features_listed_values!$D$362:$D$369")</formula1>
    </dataValidation>
    <dataValidation type="list" allowBlank="1" showInputMessage="1" showErrorMessage="1" sqref="E48">
      <formula1>INDIRECT("features_listed_values!$D$370:$D$377")</formula1>
    </dataValidation>
    <dataValidation type="list" allowBlank="1" showInputMessage="1" showErrorMessage="1" sqref="E49">
      <formula1>INDIRECT("features_listed_values!$D$378:$D$387")</formula1>
    </dataValidation>
    <dataValidation type="list" allowBlank="1" showInputMessage="1" showErrorMessage="1" sqref="E50">
      <formula1>INDIRECT("features_listed_values!$D$388:$D$391")</formula1>
    </dataValidation>
    <dataValidation type="list" allowBlank="1" showInputMessage="1" showErrorMessage="1" sqref="E51">
      <formula1>INDIRECT("features_listed_values!$D$392:$D$404")</formula1>
    </dataValidation>
    <dataValidation type="list" allowBlank="1" showInputMessage="1" showErrorMessage="1" sqref="E52">
      <formula1>INDIRECT("features_listed_values!$D$405:$D$409")</formula1>
    </dataValidation>
    <dataValidation type="list" allowBlank="1" showInputMessage="1" showErrorMessage="1" sqref="E53">
      <formula1>INDIRECT("features_listed_values!$D$410:$D$423")</formula1>
    </dataValidation>
    <dataValidation type="list" allowBlank="1" showInputMessage="1" showErrorMessage="1" sqref="E54">
      <formula1>INDIRECT("features_listed_values!$D$424:$D$432")</formula1>
    </dataValidation>
    <dataValidation type="list" allowBlank="1" showInputMessage="1" showErrorMessage="1" sqref="E55">
      <formula1>INDIRECT("features_listed_values!$D$433:$D$439")</formula1>
    </dataValidation>
    <dataValidation type="list" allowBlank="1" showInputMessage="1" showErrorMessage="1" sqref="E56">
      <formula1>INDIRECT("features_listed_values!$D$440:$D$445")</formula1>
    </dataValidation>
    <dataValidation type="list" allowBlank="1" showInputMessage="1" showErrorMessage="1" sqref="E57">
      <formula1>INDIRECT("features_listed_values!$D$446:$D$457")</formula1>
    </dataValidation>
    <dataValidation type="list" allowBlank="1" showInputMessage="1" showErrorMessage="1" sqref="E58">
      <formula1>INDIRECT("features_listed_values!$D$458:$D$481")</formula1>
    </dataValidation>
    <dataValidation type="list" allowBlank="1" showInputMessage="1" showErrorMessage="1" sqref="E59">
      <formula1>INDIRECT("features_listed_values!$D$482:$D$483")</formula1>
    </dataValidation>
    <dataValidation type="list" allowBlank="1" showInputMessage="1" showErrorMessage="1" sqref="E60">
      <formula1>INDIRECT("features_listed_values!$D$484:$D$487")</formula1>
    </dataValidation>
    <dataValidation type="list" allowBlank="1" showInputMessage="1" showErrorMessage="1" sqref="E61">
      <formula1>INDIRECT("features_listed_values!$D$488:$D$494")</formula1>
    </dataValidation>
    <dataValidation type="list" allowBlank="1" showInputMessage="1" showErrorMessage="1" sqref="E62">
      <formula1>INDIRECT("features_listed_values!$D$495:$D$501")</formula1>
    </dataValidation>
    <dataValidation type="list" allowBlank="1" showInputMessage="1" showErrorMessage="1" sqref="E63">
      <formula1>INDIRECT("features_listed_values!$D$502:$D$508")</formula1>
    </dataValidation>
    <dataValidation type="list" allowBlank="1" showInputMessage="1" showErrorMessage="1" sqref="E64">
      <formula1>INDIRECT("features_listed_values!$D$509:$D$515")</formula1>
    </dataValidation>
    <dataValidation type="list" allowBlank="1" showInputMessage="1" showErrorMessage="1" sqref="E65">
      <formula1>INDIRECT("features_listed_values!$D$516:$D$517")</formula1>
    </dataValidation>
    <dataValidation type="list" allowBlank="1" showInputMessage="1" showErrorMessage="1" sqref="E66">
      <formula1>INDIRECT("features_listed_values!$D$518:$D$520")</formula1>
    </dataValidation>
    <dataValidation type="list" allowBlank="1" showInputMessage="1" showErrorMessage="1" sqref="E67">
      <formula1>INDIRECT("features_listed_values!$D$521:$D$524")</formula1>
    </dataValidation>
    <dataValidation type="list" allowBlank="1" showInputMessage="1" showErrorMessage="1" sqref="E68">
      <formula1>INDIRECT("features_listed_values!$D$525:$D$528")</formula1>
    </dataValidation>
    <dataValidation type="list" allowBlank="1" showInputMessage="1" showErrorMessage="1" sqref="E69">
      <formula1>INDIRECT("features_listed_values!$D$529:$D$532")</formula1>
    </dataValidation>
    <dataValidation type="list" allowBlank="1" showInputMessage="1" showErrorMessage="1" sqref="E70">
      <formula1>INDIRECT("features_listed_values!$D$533:$D$542")</formula1>
    </dataValidation>
    <dataValidation type="list" allowBlank="1" showInputMessage="1" showErrorMessage="1" sqref="E71">
      <formula1>INDIRECT("features_listed_values!$D$543:$D$548")</formula1>
    </dataValidation>
    <dataValidation type="list" allowBlank="1" showInputMessage="1" showErrorMessage="1" sqref="E72">
      <formula1>INDIRECT("features_listed_values!$D$549:$D$571")</formula1>
    </dataValidation>
    <dataValidation type="list" allowBlank="1" showInputMessage="1" showErrorMessage="1" sqref="E73">
      <formula1>INDIRECT("features_listed_values!$D$572:$D$586")</formula1>
    </dataValidation>
    <dataValidation type="list" allowBlank="1" showInputMessage="1" showErrorMessage="1" sqref="E74">
      <formula1>INDIRECT("features_listed_values!$D$587:$D$593")</formula1>
    </dataValidation>
    <dataValidation type="list" allowBlank="1" showInputMessage="1" showErrorMessage="1" sqref="E75">
      <formula1>INDIRECT("features_listed_values!$D$594:$D$629")</formula1>
    </dataValidation>
    <dataValidation type="list" allowBlank="1" showInputMessage="1" showErrorMessage="1" sqref="E76">
      <formula1>INDIRECT("features_listed_values!$D$630:$D$675")</formula1>
    </dataValidation>
    <dataValidation type="list" allowBlank="1" showInputMessage="1" showErrorMessage="1" sqref="E77">
      <formula1>INDIRECT("features_listed_values!$D$676:$D$678")</formula1>
    </dataValidation>
    <dataValidation type="list" allowBlank="1" showInputMessage="1" showErrorMessage="1" sqref="E78">
      <formula1>INDIRECT("features_listed_values!$D$679:$D$680")</formula1>
    </dataValidation>
    <dataValidation type="list" allowBlank="1" showInputMessage="1" showErrorMessage="1" sqref="E79">
      <formula1>INDIRECT("features_listed_values!$D$681:$D$682")</formula1>
    </dataValidation>
    <dataValidation type="list" allowBlank="1" showInputMessage="1" showErrorMessage="1" sqref="E80">
      <formula1>INDIRECT("features_listed_values!$D$683:$D$700")</formula1>
    </dataValidation>
    <dataValidation type="list" allowBlank="1" showInputMessage="1" showErrorMessage="1" sqref="E81">
      <formula1>INDIRECT("features_listed_values!$D$701:$D$702")</formula1>
    </dataValidation>
    <dataValidation type="list" allowBlank="1" showInputMessage="1" showErrorMessage="1" sqref="E82">
      <formula1>INDIRECT("features_listed_values!$D$703:$D$711")</formula1>
    </dataValidation>
    <dataValidation type="list" allowBlank="1" showInputMessage="1" showErrorMessage="1" sqref="E83">
      <formula1>INDIRECT("features_listed_values!$D$712:$D$722")</formula1>
    </dataValidation>
    <dataValidation type="list" allowBlank="1" showInputMessage="1" showErrorMessage="1" sqref="E84">
      <formula1>INDIRECT("features_listed_values!$D$723:$D$728")</formula1>
    </dataValidation>
    <dataValidation type="list" allowBlank="1" showInputMessage="1" showErrorMessage="1" sqref="E85">
      <formula1>INDIRECT("features_listed_values!$D$729:$D$731")</formula1>
    </dataValidation>
    <dataValidation type="list" allowBlank="1" showInputMessage="1" showErrorMessage="1" sqref="E86">
      <formula1>INDIRECT("features_listed_values!$D$732:$D$739")</formula1>
    </dataValidation>
    <dataValidation type="list" allowBlank="1" showInputMessage="1" showErrorMessage="1" sqref="E87">
      <formula1>INDIRECT("features_listed_values!$D$740:$D$761")</formula1>
    </dataValidation>
    <dataValidation type="list" allowBlank="1" showInputMessage="1" showErrorMessage="1" sqref="E88">
      <formula1>INDIRECT("features_listed_values!$D$762:$D$767")</formula1>
    </dataValidation>
    <dataValidation type="list" allowBlank="1" showInputMessage="1" showErrorMessage="1" sqref="E89">
      <formula1>INDIRECT("features_listed_values!$D$768:$D$780")</formula1>
    </dataValidation>
    <dataValidation type="list" allowBlank="1" showInputMessage="1" showErrorMessage="1" sqref="E90">
      <formula1>INDIRECT("features_listed_values!$D$781:$D$793")</formula1>
    </dataValidation>
    <dataValidation type="list" allowBlank="1" showInputMessage="1" showErrorMessage="1" sqref="E91">
      <formula1>INDIRECT("features_listed_values!$D$794:$D$837")</formula1>
    </dataValidation>
    <dataValidation type="list" allowBlank="1" showInputMessage="1" showErrorMessage="1" sqref="E92">
      <formula1>INDIRECT("features_listed_values!$D$838:$D$850")</formula1>
    </dataValidation>
    <dataValidation type="list" allowBlank="1" showInputMessage="1" showErrorMessage="1" sqref="E93">
      <formula1>INDIRECT("features_listed_values!$D$851:$D$857")</formula1>
    </dataValidation>
    <dataValidation type="list" allowBlank="1" showInputMessage="1" showErrorMessage="1" sqref="E94">
      <formula1>INDIRECT("features_listed_values!$D$858:$D$872")</formula1>
    </dataValidation>
    <dataValidation type="list" allowBlank="1" showInputMessage="1" showErrorMessage="1" sqref="E95">
      <formula1>INDIRECT("features_listed_values!$D$873:$D$898")</formula1>
    </dataValidation>
    <dataValidation type="list" allowBlank="1" showInputMessage="1" showErrorMessage="1" sqref="E96">
      <formula1>INDIRECT("features_listed_values!$D$899:$D$909")</formula1>
    </dataValidation>
    <dataValidation type="list" allowBlank="1" showInputMessage="1" showErrorMessage="1" sqref="E97">
      <formula1>INDIRECT("features_listed_values!$D$910:$D$942")</formula1>
    </dataValidation>
    <dataValidation type="list" allowBlank="1" showInputMessage="1" showErrorMessage="1" sqref="E98">
      <formula1>INDIRECT("features_listed_values!$D$943:$D$953")</formula1>
    </dataValidation>
    <dataValidation type="list" allowBlank="1" showInputMessage="1" showErrorMessage="1" sqref="E99">
      <formula1>INDIRECT("features_listed_values!$D$954:$D$956")</formula1>
    </dataValidation>
    <dataValidation type="list" allowBlank="1" showInputMessage="1" showErrorMessage="1" sqref="E100">
      <formula1>INDIRECT("features_listed_values!$D$957:$D$961")</formula1>
    </dataValidation>
    <dataValidation type="list" allowBlank="1" showInputMessage="1" showErrorMessage="1" sqref="E101">
      <formula1>INDIRECT("features_listed_values!$D$962:$D$963")</formula1>
    </dataValidation>
    <dataValidation type="list" allowBlank="1" showInputMessage="1" showErrorMessage="1" sqref="E102">
      <formula1>INDIRECT("features_listed_values!$D$964:$D$966")</formula1>
    </dataValidation>
    <dataValidation type="list" allowBlank="1" showInputMessage="1" showErrorMessage="1" sqref="E103">
      <formula1>INDIRECT("features_listed_values!$D$967:$D$968")</formula1>
    </dataValidation>
    <dataValidation type="list" allowBlank="1" showInputMessage="1" showErrorMessage="1" sqref="E104">
      <formula1>INDIRECT("features_listed_values!$D$969:$D$980")</formula1>
    </dataValidation>
    <dataValidation type="list" allowBlank="1" showInputMessage="1" showErrorMessage="1" sqref="E105">
      <formula1>INDIRECT("features_listed_values!$D$981:$D$988")</formula1>
    </dataValidation>
    <dataValidation type="list" allowBlank="1" showInputMessage="1" showErrorMessage="1" sqref="E106">
      <formula1>INDIRECT("features_listed_values!$D$989:$D$992")</formula1>
    </dataValidation>
    <dataValidation type="list" allowBlank="1" showInputMessage="1" showErrorMessage="1" sqref="E107">
      <formula1>INDIRECT("features_listed_values!$D$993:$D$1001")</formula1>
    </dataValidation>
    <dataValidation type="list" allowBlank="1" showInputMessage="1" showErrorMessage="1" sqref="E108">
      <formula1>INDIRECT("features_listed_values!$D$1002:$D$1013")</formula1>
    </dataValidation>
    <dataValidation type="list" allowBlank="1" showInputMessage="1" showErrorMessage="1" sqref="E109">
      <formula1>INDIRECT("features_listed_values!$D$1014:$D$1015")</formula1>
    </dataValidation>
    <dataValidation type="list" allowBlank="1" showInputMessage="1" showErrorMessage="1" sqref="E110">
      <formula1>INDIRECT("features_listed_values!$D$1016:$D$1038")</formula1>
    </dataValidation>
    <dataValidation type="list" allowBlank="1" showInputMessage="1" showErrorMessage="1" sqref="E111">
      <formula1>INDIRECT("features_listed_values!$D$1039:$D$1049")</formula1>
    </dataValidation>
    <dataValidation type="list" allowBlank="1" showInputMessage="1" showErrorMessage="1" sqref="E112">
      <formula1>INDIRECT("features_listed_values!$D$1050:$D$1054")</formula1>
    </dataValidation>
    <dataValidation type="list" allowBlank="1" showInputMessage="1" showErrorMessage="1" sqref="E113">
      <formula1>INDIRECT("features_listed_values!$D$1055:$D$1064")</formula1>
    </dataValidation>
    <dataValidation type="list" allowBlank="1" showInputMessage="1" showErrorMessage="1" sqref="E114">
      <formula1>INDIRECT("features_listed_values!$D$1065:$D$1080")</formula1>
    </dataValidation>
    <dataValidation type="list" allowBlank="1" showInputMessage="1" showErrorMessage="1" sqref="E115">
      <formula1>INDIRECT("features_listed_values!$D$1081:$D$1098")</formula1>
    </dataValidation>
    <dataValidation type="list" allowBlank="1" showInputMessage="1" showErrorMessage="1" sqref="E116:E117">
      <formula1>INDIRECT("features_listed_values!$D$1099:$D$1111")</formula1>
    </dataValidation>
    <dataValidation type="list" allowBlank="1" showInputMessage="1" showErrorMessage="1" sqref="E118">
      <formula1>INDIRECT("features_listed_values!$D$1116:$D$1142")</formula1>
    </dataValidation>
    <dataValidation type="list" allowBlank="1" showInputMessage="1" showErrorMessage="1" sqref="E119">
      <formula1>INDIRECT("features_listed_values!$D$1143:$D$1163")</formula1>
    </dataValidation>
    <dataValidation type="list" allowBlank="1" showInputMessage="1" showErrorMessage="1" sqref="E120">
      <formula1>INDIRECT("features_listed_values!$D$1164:$D$1170")</formula1>
    </dataValidation>
    <dataValidation type="list" allowBlank="1" showInputMessage="1" showErrorMessage="1" sqref="E121">
      <formula1>INDIRECT("features_listed_values!$D$1171:$D$1180")</formula1>
    </dataValidation>
    <dataValidation type="list" allowBlank="1" showInputMessage="1" showErrorMessage="1" sqref="E122">
      <formula1>INDIRECT("features_listed_values!$D$1181:$D$1183")</formula1>
    </dataValidation>
    <dataValidation type="list" allowBlank="1" showInputMessage="1" showErrorMessage="1" sqref="E123">
      <formula1>INDIRECT("features_listed_values!$D$1184:$D$1195")</formula1>
    </dataValidation>
    <dataValidation type="list" allowBlank="1" showInputMessage="1" showErrorMessage="1" sqref="E124">
      <formula1>INDIRECT("features_listed_values!$D$1196:$D$1199")</formula1>
    </dataValidation>
    <dataValidation type="list" allowBlank="1" showInputMessage="1" showErrorMessage="1" sqref="E125">
      <formula1>INDIRECT("features_listed_values!$D$1200:$D$1201")</formula1>
    </dataValidation>
    <dataValidation type="list" allowBlank="1" showInputMessage="1" showErrorMessage="1" sqref="E127">
      <formula1>INDIRECT("features_listed_values!$D$1206:$D$1209")</formula1>
    </dataValidation>
    <dataValidation type="list" allowBlank="1" showInputMessage="1" showErrorMessage="1" sqref="E128">
      <formula1>INDIRECT("features_listed_values!$D$1210:$D$1212")</formula1>
    </dataValidation>
    <dataValidation type="list" allowBlank="1" showInputMessage="1" showErrorMessage="1" sqref="E129">
      <formula1>INDIRECT("features_listed_values!$D$1213:$D$1217")</formula1>
    </dataValidation>
    <dataValidation type="list" allowBlank="1" showInputMessage="1" showErrorMessage="1" sqref="E130">
      <formula1>INDIRECT("features_listed_values!$D$1218:$D$1220")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0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1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HONOR</cp:lastModifiedBy>
  <cp:lastPrinted>2022-07-21T16:09:51Z</cp:lastPrinted>
  <dcterms:created xsi:type="dcterms:W3CDTF">2021-07-06T13:49:41Z</dcterms:created>
  <dcterms:modified xsi:type="dcterms:W3CDTF">2025-06-19T22:31:42Z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