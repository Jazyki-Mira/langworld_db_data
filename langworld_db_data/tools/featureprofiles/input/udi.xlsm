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cuments\GitHub\langworld_db_data\langworld_db_data\tools\featureprofiles\input\"/>
    </mc:Choice>
  </mc:AlternateContent>
  <bookViews>
    <workbookView xWindow="0" yWindow="0" windowWidth="18996" windowHeight="9780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features!$A$1:$C$130</definedName>
    <definedName name="ExternalData_1" localSheetId="2" hidden="1">features_listed_values!$A$1:$D$1220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<sst xmlns="http://schemas.openxmlformats.org/spreadsheetml/2006/main" count="5557" uniqueCount="3910">
  <si>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</si>
  <si>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</si>
  <si>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</si>
  <si>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</si>
  <si>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</si>
  <si>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</si>
  <si>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</si>
  <si>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</si>
  <si>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</si>
  <si>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</si>
  <si>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</si>
  <si>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</si>
  <si>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</si>
  <si>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</si>
  <si>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</si>
  <si>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</si>
  <si>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</si>
  <si>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</si>
  <si>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</si>
  <si>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</si>
  <si>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</si>
  <si>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</si>
  <si>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</si>
  <si>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</si>
  <si>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</si>
  <si>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</si>
  <si>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</si>
  <si>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</si>
  <si>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</si>
  <si>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</si>
  <si>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</si>
  <si>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</si>
  <si>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</si>
  <si>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</si>
  <si>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</si>
  <si>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</si>
  <si>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</si>
  <si>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</si>
  <si>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</si>
  <si>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</si>
  <si>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</si>
  <si>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</si>
  <si>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</si>
  <si>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</si>
  <si>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</si>
  <si>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</si>
  <si>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</si>
  <si>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</si>
  <si>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</si>
  <si>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</si>
  <si>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</si>
  <si>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</si>
  <si>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</si>
  <si>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</si>
  <si>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</si>
  <si>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</si>
  <si>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</si>
  <si>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</si>
  <si>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</si>
  <si>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</si>
  <si>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</si>
  <si>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</si>
  <si>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</si>
  <si>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</si>
  <si>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</si>
  <si>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</si>
  <si>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</si>
  <si>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</si>
  <si>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</si>
  <si>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</si>
  <si>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</si>
  <si>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</si>
  <si>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</si>
  <si>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</si>
  <si>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</si>
  <si>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</si>
  <si>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</si>
  <si>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</si>
  <si>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</si>
  <si>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</si>
  <si>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</si>
  <si>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</si>
  <si>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</si>
  <si>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</si>
  <si>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</si>
  <si>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</si>
  <si>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</si>
  <si>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</si>
  <si>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</si>
  <si>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</si>
  <si>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</si>
  <si>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</si>
  <si>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</si>
  <si>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</si>
  <si>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</si>
  <si>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</si>
  <si>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</si>
  <si>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</si>
  <si>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</si>
  <si>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</si>
  <si>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</si>
  <si>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</si>
  <si>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</si>
  <si>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</si>
  <si>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</si>
  <si>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</si>
  <si>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</si>
  <si>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</si>
  <si>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</si>
  <si>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</si>
  <si>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</si>
  <si>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</si>
  <si>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</si>
  <si>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</si>
  <si>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</si>
  <si>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</si>
  <si>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</si>
  <si>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</si>
  <si>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</si>
  <si>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</si>
  <si>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</si>
  <si>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</si>
  <si>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</si>
  <si>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</si>
  <si>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</si>
  <si>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</si>
  <si>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</si>
  <si>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</si>
  <si>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</si>
  <si>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</si>
  <si>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</si>
  <si>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</si>
  <si>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</si>
  <si>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</si>
  <si>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</si>
  <si>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</si>
  <si>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</si>
  <si>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</si>
  <si>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</si>
  <si>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</si>
  <si>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</si>
  <si>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</si>
  <si>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</si>
  <si>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</si>
  <si>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</si>
  <si>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</si>
  <si>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</si>
  <si>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</si>
  <si>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</si>
  <si>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</si>
  <si>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</si>
  <si>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</si>
  <si>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</si>
  <si>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</si>
  <si>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</si>
  <si>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</si>
  <si>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</si>
  <si>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</si>
  <si>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</si>
  <si>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</si>
  <si>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</si>
  <si>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</si>
  <si>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</si>
  <si>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</si>
  <si>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</si>
  <si>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</si>
  <si>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</si>
  <si>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</si>
  <si>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</si>
  <si>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</si>
  <si>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</si>
  <si>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</si>
  <si>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</si>
  <si>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</si>
  <si>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</si>
  <si>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</si>
  <si>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</si>
  <si>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</si>
  <si>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</si>
  <si>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</si>
  <si>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</si>
  <si>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</si>
  <si>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</si>
  <si>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</si>
  <si>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</si>
  <si>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</si>
  <si>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</si>
  <si>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</si>
  <si>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</si>
  <si>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</si>
  <si>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</si>
  <si>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</si>
  <si>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</si>
  <si>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</si>
  <si>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</si>
  <si>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</si>
  <si>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</si>
  <si>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</si>
  <si>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</si>
  <si>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</si>
  <si>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</si>
  <si>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</si>
  <si>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</si>
  <si>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</si>
  <si>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</si>
  <si>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</si>
  <si>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</si>
  <si>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</si>
  <si>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</si>
  <si>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</si>
  <si>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</si>
  <si>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</si>
  <si>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</si>
  <si>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</si>
  <si>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</si>
  <si>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</si>
  <si>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</si>
  <si>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</si>
  <si>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</si>
  <si>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</si>
  <si>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</si>
  <si>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</si>
  <si>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</si>
  <si>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</si>
  <si>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</si>
  <si>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</si>
  <si>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</si>
  <si>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</si>
  <si>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</si>
  <si>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</si>
  <si>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</si>
  <si>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</si>
  <si>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</si>
  <si>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</si>
  <si>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</si>
  <si>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</si>
  <si>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</si>
  <si>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</si>
  <si>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</si>
  <si>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</si>
  <si>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</si>
  <si>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</si>
  <si>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</si>
  <si>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</si>
  <si>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</si>
  <si>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</si>
  <si>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</si>
  <si>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</si>
  <si>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</si>
  <si>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</si>
  <si>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</si>
  <si>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</si>
  <si>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</si>
  <si>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</si>
  <si>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</si>
  <si>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</si>
  <si>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</si>
  <si>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</si>
  <si>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</si>
  <si>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</si>
  <si>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</si>
  <si>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</si>
  <si>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</si>
  <si>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</si>
  <si>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</si>
  <si>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</si>
  <si>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</si>
  <si>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</si>
  <si>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</si>
  <si>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</si>
  <si>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</si>
  <si>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</si>
  <si>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</si>
  <si>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</si>
  <si>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</si>
  <si>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</si>
  <si>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</si>
  <si>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</si>
  <si>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</si>
  <si>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</si>
  <si>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</si>
  <si>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</si>
  <si>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</si>
  <si>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</si>
  <si>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</si>
  <si>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</si>
  <si>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</si>
  <si>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</si>
  <si>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</si>
  <si>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</si>
  <si>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</si>
  <si>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</si>
  <si>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</si>
  <si>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</si>
  <si>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</si>
  <si>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</si>
  <si>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</si>
  <si>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</si>
  <si>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</si>
  <si>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</si>
  <si>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</si>
  <si>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</si>
  <si>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</si>
  <si>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</si>
  <si>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</si>
  <si>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</si>
  <si>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</si>
  <si>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</si>
  <si>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</si>
  <si>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</si>
  <si>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</si>
  <si>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</si>
  <si>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</si>
  <si>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</si>
  <si>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</si>
  <si>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</si>
  <si>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</si>
  <si>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</si>
  <si>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</si>
  <si>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</si>
  <si>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</si>
  <si>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</si>
  <si>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</si>
  <si>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</si>
  <si>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</si>
  <si>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</si>
  <si>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</si>
  <si>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</si>
  <si>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</si>
  <si>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</si>
  <si>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</si>
  <si>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</si>
  <si>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</si>
  <si>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</si>
  <si>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</si>
  <si>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</si>
  <si>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</si>
  <si>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</si>
  <si>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</si>
  <si>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</si>
  <si>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</si>
  <si>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</si>
  <si>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</si>
  <si>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</si>
  <si>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</si>
  <si>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</si>
  <si>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</si>
  <si>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</si>
  <si>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</si>
  <si>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</si>
  <si>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</si>
  <si>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</si>
  <si>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</si>
  <si>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</si>
  <si>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</si>
  <si>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</si>
  <si>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</si>
  <si>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</si>
  <si>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</si>
  <si>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</si>
  <si>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</si>
  <si>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</si>
  <si>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</si>
  <si>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</si>
  <si>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</si>
  <si>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</si>
  <si>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</si>
  <si>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</si>
  <si>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</si>
  <si>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</si>
  <si>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</si>
  <si>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</si>
  <si>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</si>
  <si>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</si>
  <si>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</si>
  <si>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</si>
  <si>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</si>
  <si>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</si>
  <si>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</si>
  <si>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</si>
  <si>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</si>
  <si>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</si>
  <si>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</si>
  <si>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</si>
  <si>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</si>
  <si>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</si>
  <si>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</si>
  <si>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</si>
  <si>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</si>
  <si>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</si>
  <si>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</si>
  <si>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</si>
  <si>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</si>
  <si>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</si>
  <si>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</si>
  <si>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</si>
  <si>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</si>
  <si>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</si>
  <si>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</si>
  <si>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</si>
  <si>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</si>
  <si>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</si>
  <si>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</si>
  <si>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</si>
  <si>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</si>
  <si>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</si>
  <si>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</si>
  <si>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</si>
  <si>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</si>
  <si>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</si>
  <si>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</si>
  <si>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</si>
  <si>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</si>
  <si>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</si>
  <si>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</si>
  <si>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</si>
  <si>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</si>
  <si>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</si>
  <si>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</si>
  <si>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</si>
  <si>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</si>
  <si>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</si>
  <si>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</si>
  <si>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</si>
  <si>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</si>
  <si>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</si>
  <si>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</si>
  <si>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</si>
  <si>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</si>
  <si>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</si>
  <si>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</si>
  <si>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</si>
  <si>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</si>
  <si>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</si>
  <si>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</si>
  <si>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</si>
  <si>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</si>
  <si>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</si>
  <si>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</si>
  <si>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</si>
  <si>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</si>
  <si>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</si>
  <si>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</si>
  <si>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</si>
  <si>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</si>
  <si>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</si>
  <si>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</si>
  <si>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</si>
  <si>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</si>
  <si>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</si>
  <si>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</si>
  <si>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</si>
  <si>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</si>
  <si>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</si>
  <si>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</si>
  <si>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</si>
  <si>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</si>
  <si>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</si>
  <si>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</si>
  <si>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</si>
  <si>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</si>
  <si>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</si>
  <si>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</si>
  <si>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</si>
  <si>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</si>
  <si>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</si>
  <si>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</si>
  <si>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</si>
  <si>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</si>
  <si>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</si>
  <si>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</si>
  <si>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</si>
  <si>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</si>
  <si>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</si>
  <si>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</si>
  <si>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</si>
  <si>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</si>
  <si>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</si>
  <si>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</si>
  <si>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</si>
  <si>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</si>
  <si>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</si>
  <si>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</si>
  <si>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</si>
  <si>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</si>
  <si>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</si>
  <si>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</si>
  <si>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</si>
  <si>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</si>
  <si>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</si>
  <si>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</si>
  <si>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</si>
  <si>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</si>
  <si>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</si>
  <si>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</si>
  <si>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</si>
  <si>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</si>
  <si>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</si>
  <si>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</si>
  <si>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</si>
  <si>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</si>
  <si>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</si>
  <si>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</si>
  <si>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</si>
  <si>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</si>
  <si>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</si>
  <si>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</si>
  <si>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</si>
  <si>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</si>
  <si>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</si>
  <si>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</si>
  <si>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</si>
  <si>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</si>
  <si>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</si>
  <si>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</si>
  <si>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</si>
  <si>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</si>
  <si>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</si>
  <si>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</si>
  <si>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</si>
  <si>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</si>
  <si>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</si>
  <si>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</si>
  <si>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</si>
  <si>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</si>
  <si>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</si>
  <si>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</si>
  <si>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</si>
  <si>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</si>
  <si>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</si>
  <si>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</si>
  <si>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</si>
  <si>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</si>
  <si>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</si>
  <si>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</si>
  <si>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</si>
  <si>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</si>
  <si>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</si>
  <si>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</si>
  <si>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</si>
  <si>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</si>
  <si>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</si>
  <si>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</si>
  <si>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</si>
  <si>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</si>
  <si>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</si>
  <si>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</si>
  <si>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</si>
  <si>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</si>
  <si>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</si>
  <si>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</si>
  <si>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</si>
  <si>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</si>
  <si>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</si>
  <si>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</si>
  <si>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</si>
  <si>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</si>
  <si>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</si>
  <si>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</si>
  <si>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</si>
  <si>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</si>
  <si>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</si>
  <si>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</si>
  <si>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</si>
  <si>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</si>
  <si>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</si>
  <si>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</si>
  <si>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</si>
  <si>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</si>
  <si>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</si>
  <si>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</si>
  <si>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</si>
  <si>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</si>
  <si>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</si>
  <si>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</si>
  <si>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</si>
  <si>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</si>
  <si>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</si>
  <si>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</si>
  <si>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</si>
  <si>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</si>
  <si>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</si>
  <si>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</si>
  <si>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</si>
  <si>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</si>
  <si>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</si>
  <si>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</si>
  <si>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</si>
  <si>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</si>
  <si>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</si>
  <si>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</si>
  <si>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</si>
  <si>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</si>
  <si>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</si>
  <si>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</si>
  <si>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</si>
  <si>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</si>
  <si>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</si>
  <si>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</si>
  <si>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</si>
  <si>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</si>
  <si>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</si>
  <si>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</si>
  <si>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</si>
  <si>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</si>
  <si>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</si>
  <si>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</si>
  <si>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</si>
  <si>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</si>
  <si>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</si>
  <si>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</si>
  <si>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</si>
  <si>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</si>
  <si>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</si>
  <si>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</si>
  <si>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</si>
  <si>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</si>
  <si>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</si>
  <si>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</si>
  <si>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</si>
  <si>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</si>
  <si>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</si>
  <si>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</si>
  <si>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</si>
  <si>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</si>
  <si>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</si>
  <si>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</si>
  <si>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</si>
  <si>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</si>
  <si>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</si>
  <si>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</si>
  <si>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</si>
  <si>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</si>
  <si>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</si>
  <si>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</si>
  <si>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</si>
  <si>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</si>
  <si>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</si>
  <si>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</si>
  <si>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</si>
  <si>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</si>
  <si>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</si>
  <si>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</si>
  <si>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</si>
  <si>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</si>
  <si>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</si>
  <si>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</si>
  <si>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</si>
  <si>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</si>
  <si>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</si>
  <si>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</si>
  <si>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</si>
  <si>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</si>
  <si>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</si>
  <si>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</si>
  <si>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</si>
  <si>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</si>
  <si>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</si>
  <si>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</si>
  <si>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</si>
  <si>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</si>
  <si>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</si>
  <si>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</si>
  <si>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</si>
  <si>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</si>
  <si>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</si>
  <si>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</si>
  <si>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</si>
  <si>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</si>
  <si>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</si>
  <si>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</si>
  <si>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</si>
  <si>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</si>
  <si>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</si>
  <si>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</si>
  <si>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</si>
  <si>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</si>
  <si>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</si>
  <si>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</si>
  <si>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</si>
  <si>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</si>
  <si>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</si>
  <si>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</si>
  <si>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</si>
  <si>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</si>
  <si>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</si>
  <si>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</si>
  <si>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</si>
  <si>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</si>
  <si>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</si>
  <si>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</si>
  <si>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</si>
  <si>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</si>
  <si>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</si>
  <si>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</si>
  <si>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</si>
  <si>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</si>
  <si>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</si>
  <si>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</si>
  <si>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</si>
  <si>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</si>
  <si>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</si>
  <si>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</si>
  <si>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</si>
  <si>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</si>
  <si>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</si>
  <si>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</si>
  <si>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</si>
  <si>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</si>
  <si>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</si>
  <si>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</si>
  <si>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</si>
  <si>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</si>
  <si>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</si>
  <si>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</si>
  <si>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</si>
  <si>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</si>
  <si>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</si>
  <si>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</si>
  <si>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</si>
  <si>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</si>
  <si>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</si>
  <si>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</si>
  <si>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</si>
  <si>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</si>
  <si>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</si>
  <si>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</si>
  <si>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</si>
  <si>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</si>
  <si>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</si>
  <si>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</si>
  <si>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</si>
  <si>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</si>
  <si>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</si>
  <si>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</si>
  <si>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</si>
  <si>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</si>
  <si>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</si>
  <si>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</si>
  <si>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</si>
  <si>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</si>
  <si>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</si>
  <si>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</si>
  <si>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</si>
  <si>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</si>
  <si>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</si>
  <si>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</si>
  <si>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</si>
  <si>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</si>
  <si>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</si>
  <si>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</si>
  <si>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</si>
  <si>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</si>
  <si>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</si>
  <si>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</si>
  <si>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</si>
  <si>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</si>
  <si>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</si>
  <si>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</si>
  <si>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</si>
  <si>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</si>
  <si>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</si>
  <si>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</si>
  <si>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</si>
  <si>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</si>
  <si>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</si>
  <si>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</si>
  <si>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</si>
  <si>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</si>
  <si>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</si>
  <si>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</si>
  <si>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</si>
  <si>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</si>
  <si>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</si>
  <si>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</si>
  <si>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</si>
  <si>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</si>
  <si>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</si>
  <si>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</si>
  <si>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</si>
  <si>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</si>
  <si>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</si>
  <si>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</si>
  <si>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</si>
  <si>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</si>
  <si>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</si>
  <si>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</si>
  <si>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</si>
  <si>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</si>
  <si>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</si>
  <si>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</si>
  <si>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</si>
  <si>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</si>
  <si>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</si>
  <si>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</si>
  <si>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</si>
  <si>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</si>
  <si>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</si>
  <si>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</si>
  <si>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</si>
  <si>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</si>
  <si>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</si>
  <si>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</si>
  <si>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</si>
  <si>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</si>
  <si>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</si>
  <si>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</si>
  <si>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</si>
  <si>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</si>
  <si>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</si>
  <si>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</si>
  <si>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</si>
  <si>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</si>
  <si>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</si>
  <si>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</si>
  <si>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</si>
  <si>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</si>
  <si>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</si>
  <si>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</si>
  <si>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</si>
  <si>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</si>
  <si>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</si>
  <si>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</si>
  <si>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</si>
  <si>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</si>
  <si>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</si>
  <si>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</si>
  <si>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</si>
  <si>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</si>
  <si>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</si>
  <si>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</si>
  <si>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</si>
  <si>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</si>
  <si>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</si>
  <si>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</si>
  <si>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</si>
  <si>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</si>
  <si>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</si>
  <si>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</si>
  <si>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</si>
  <si>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</si>
  <si>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</si>
  <si>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</si>
  <si>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</si>
  <si>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</si>
  <si>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</si>
  <si>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</si>
  <si>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</si>
  <si>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</si>
  <si>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</si>
  <si>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</si>
  <si>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</si>
  <si>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</si>
  <si>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</si>
  <si>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</si>
  <si>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</si>
  <si>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</si>
  <si>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</si>
  <si>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</si>
  <si>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</si>
  <si>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</si>
  <si>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</si>
  <si>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</si>
  <si>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</si>
  <si>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</si>
  <si>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</si>
  <si>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</si>
  <si>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</si>
  <si>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</si>
  <si>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</si>
  <si>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</si>
  <si>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</si>
  <si>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</si>
  <si>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</si>
  <si>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</si>
  <si>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</si>
  <si>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</si>
  <si>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</si>
  <si>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</si>
  <si>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</si>
  <si>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</si>
  <si>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</si>
  <si>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</si>
  <si>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</si>
  <si>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</si>
  <si>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</si>
  <si>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</si>
  <si>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</si>
  <si>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</si>
  <si>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</si>
  <si>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</si>
  <si>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</si>
  <si>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</si>
  <si>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</si>
  <si>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</si>
  <si>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</si>
  <si>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</si>
  <si>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</si>
  <si>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</si>
  <si>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</si>
  <si>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</si>
  <si>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</si>
  <si>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</si>
  <si>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</si>
  <si>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</si>
  <si>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</si>
  <si>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</si>
  <si>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</si>
  <si>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</si>
  <si>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</si>
  <si>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</si>
  <si>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</si>
  <si>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</si>
  <si>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</si>
  <si>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</si>
  <si>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</si>
  <si>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</si>
  <si>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</si>
  <si>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</si>
  <si>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</si>
  <si>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</si>
  <si>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</si>
  <si>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</si>
  <si>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</si>
  <si>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</si>
  <si>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</si>
  <si>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</si>
  <si>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</si>
  <si>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</si>
  <si>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</si>
  <si>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</si>
  <si>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</si>
  <si>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</si>
  <si>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</si>
  <si>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</si>
  <si>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</si>
  <si>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</si>
  <si>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</si>
  <si>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</si>
  <si>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</si>
  <si>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</si>
  <si>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</si>
  <si>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</si>
  <si>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</si>
  <si>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</si>
  <si>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</si>
  <si>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</si>
  <si>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</si>
  <si>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</si>
  <si>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</si>
  <si>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</si>
  <si>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</si>
  <si>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</si>
  <si>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</si>
  <si>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</si>
  <si>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</si>
  <si>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</si>
  <si>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</si>
  <si>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</si>
  <si>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</si>
  <si>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</si>
  <si>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</si>
  <si>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</si>
  <si>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</si>
  <si>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</si>
  <si>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</si>
  <si>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</si>
  <si>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</si>
  <si>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</si>
  <si>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</si>
  <si>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</si>
  <si>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</si>
  <si>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</si>
  <si>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</si>
  <si>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</si>
  <si>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</si>
  <si>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</si>
  <si>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</si>
  <si>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</si>
  <si>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</si>
  <si>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</si>
  <si>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</si>
  <si>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</si>
  <si>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</si>
  <si>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</si>
  <si>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</si>
  <si>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</si>
  <si>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</si>
  <si>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</si>
  <si>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</si>
  <si>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</si>
  <si>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</si>
  <si>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</si>
  <si>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</si>
  <si>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</si>
  <si>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</si>
  <si>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</si>
  <si>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</si>
  <si>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</si>
  <si>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</si>
  <si>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</si>
  <si>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</si>
  <si>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</si>
  <si>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</si>
  <si>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</si>
  <si>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</si>
  <si>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</si>
  <si>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</si>
  <si>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</si>
  <si>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</si>
  <si>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</si>
  <si>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</si>
  <si>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</si>
  <si>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</si>
  <si>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</si>
  <si>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</si>
  <si>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</si>
  <si>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</si>
  <si>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</si>
  <si>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</si>
  <si>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</si>
  <si>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</si>
  <si>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</si>
  <si>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</si>
  <si>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</si>
  <si>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</si>
  <si>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</si>
  <si>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</si>
  <si>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</si>
  <si>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</si>
  <si>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</si>
  <si>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</si>
  <si>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</si>
  <si>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</si>
  <si>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</si>
  <si>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</si>
  <si>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</si>
  <si>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</si>
  <si>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</si>
  <si>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</si>
  <si>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</si>
  <si>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</si>
  <si>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</si>
  <si>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</si>
  <si>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</si>
  <si>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</si>
  <si>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</si>
  <si>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</si>
  <si>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</si>
  <si>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</si>
  <si>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</si>
  <si>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</si>
  <si>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</si>
  <si>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</si>
  <si>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</si>
  <si>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</si>
  <si>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</si>
  <si>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</si>
  <si>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</si>
  <si>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</si>
  <si>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</si>
  <si>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</si>
  <si>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</si>
  <si>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</si>
  <si>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</si>
  <si>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</si>
  <si>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</si>
  <si>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</si>
  <si>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</si>
  <si>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</si>
  <si>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</si>
  <si>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</si>
  <si>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</si>
  <si>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</si>
  <si>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</si>
  <si>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</si>
  <si>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</si>
  <si>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</si>
  <si>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</si>
  <si>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</si>
  <si>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</si>
  <si>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</si>
  <si>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</si>
  <si>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</si>
  <si>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</si>
  <si>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</si>
  <si>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</si>
  <si>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</si>
  <si>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</si>
  <si>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</si>
  <si>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</si>
  <si>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</si>
  <si>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</si>
  <si>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</si>
  <si>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</si>
  <si>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</si>
  <si>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</si>
  <si>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</si>
  <si>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</si>
  <si>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</si>
  <si>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</si>
  <si>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</si>
  <si>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</si>
  <si>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</si>
  <si>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</si>
  <si>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</si>
  <si>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</si>
  <si>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</si>
  <si>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</si>
  <si>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</si>
  <si>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</si>
  <si>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</si>
  <si>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</si>
  <si>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</si>
  <si>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</si>
  <si>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</si>
  <si>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</si>
  <si>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</si>
  <si>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</si>
  <si>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</si>
  <si>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</si>
  <si>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</si>
  <si>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</si>
  <si>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</si>
  <si>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</si>
  <si>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</si>
  <si>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</si>
  <si>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</si>
  <si>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</si>
  <si>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</si>
  <si>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</si>
  <si>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</si>
  <si>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</si>
  <si>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</si>
  <si>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</si>
  <si>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</si>
  <si>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</si>
  <si>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</si>
  <si>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</si>
  <si>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</si>
  <si>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</si>
  <si>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</si>
  <si>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</si>
  <si>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</si>
  <si>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</si>
  <si>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</si>
  <si>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</si>
  <si>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</si>
  <si>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</si>
  <si>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</si>
  <si>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</si>
  <si>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</si>
  <si>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</si>
  <si>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</si>
  <si>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</si>
  <si>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</si>
  <si>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</si>
  <si>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</si>
  <si>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</si>
  <si>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</si>
  <si>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</si>
  <si>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</si>
  <si>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</si>
  <si>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</si>
  <si>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</si>
  <si>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</si>
  <si>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</si>
  <si>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</si>
  <si>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</si>
  <si>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</si>
  <si>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</si>
  <si>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</si>
  <si>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</si>
  <si>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</si>
  <si>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</si>
  <si>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</si>
  <si>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</si>
  <si>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</si>
  <si>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</si>
  <si>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</si>
  <si>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</si>
  <si>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</si>
  <si>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</si>
  <si>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</si>
  <si>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</si>
  <si>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</si>
  <si>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</si>
  <si>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</si>
  <si>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</si>
  <si>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</si>
  <si>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</si>
  <si>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</si>
  <si>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</si>
  <si>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</si>
  <si>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</si>
  <si>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</si>
  <si>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</si>
  <si>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</si>
  <si>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</si>
  <si>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</si>
  <si>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</si>
  <si>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</si>
  <si>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</si>
  <si>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</si>
  <si>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</si>
  <si>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</si>
  <si>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</si>
  <si>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</si>
  <si>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</si>
  <si>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</si>
  <si>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</si>
  <si>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</si>
  <si>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</si>
  <si>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</si>
  <si>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</si>
  <si>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</si>
  <si>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</si>
  <si>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</si>
  <si>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</si>
  <si>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</si>
  <si>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</si>
  <si>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</si>
  <si>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</si>
  <si>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</si>
  <si>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</si>
  <si>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</si>
  <si>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</si>
  <si>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</si>
  <si>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</si>
  <si>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</si>
  <si>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</si>
  <si>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</si>
  <si>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</si>
  <si>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</si>
  <si>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</si>
  <si>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</si>
  <si>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</si>
  <si>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</si>
  <si>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</si>
  <si>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</si>
  <si>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</si>
  <si>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</si>
  <si>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</si>
  <si>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</si>
  <si>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</si>
  <si>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</si>
  <si>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</si>
  <si>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</si>
  <si>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</si>
  <si>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</si>
  <si>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</si>
  <si>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</si>
  <si>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</si>
  <si>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</si>
  <si>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</si>
  <si>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</si>
  <si>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</si>
  <si>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</si>
  <si>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</si>
  <si>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</si>
  <si>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</si>
  <si>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</si>
  <si>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</si>
  <si>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</si>
  <si>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</si>
  <si>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</si>
  <si>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</si>
  <si>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</si>
  <si>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</si>
  <si>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</si>
  <si>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</si>
  <si>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</si>
  <si>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</si>
  <si>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</si>
  <si>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</si>
  <si>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</si>
  <si>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</si>
  <si>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</si>
  <si>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</si>
  <si>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</si>
  <si>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</si>
  <si>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</si>
  <si>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</si>
  <si>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</si>
  <si>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</si>
  <si>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</si>
  <si>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</si>
  <si>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</si>
  <si>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</si>
  <si>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</si>
  <si>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</si>
  <si>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</si>
  <si>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</si>
  <si>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</si>
  <si>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</si>
  <si>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</si>
  <si>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</si>
  <si>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</si>
  <si>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</si>
  <si>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</si>
  <si>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</si>
  <si>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</si>
  <si>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</si>
  <si>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</si>
  <si>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</si>
  <si>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</si>
  <si>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</si>
  <si>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</si>
  <si>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</si>
  <si>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</si>
  <si>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</si>
  <si>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</si>
  <si>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</si>
  <si>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</si>
  <si>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</si>
  <si>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</si>
  <si>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</si>
  <si>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</si>
  <si>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</si>
  <si>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</si>
  <si>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</si>
  <si>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</si>
  <si>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</si>
  <si>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</si>
  <si>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</si>
  <si>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</si>
  <si>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</si>
  <si>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</si>
  <si>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</si>
  <si>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</si>
  <si>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</si>
  <si>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</si>
  <si>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</si>
  <si>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</si>
  <si>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</si>
  <si>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</si>
  <si>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</si>
  <si>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</si>
  <si>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</si>
  <si>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</si>
  <si>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</si>
  <si>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</si>
  <si>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</si>
  <si>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</si>
  <si>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</si>
  <si>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</si>
  <si>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</si>
  <si>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</si>
  <si>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</si>
  <si>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</si>
  <si>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</si>
  <si>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</si>
  <si>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</si>
  <si>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</si>
  <si>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</si>
  <si>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</si>
  <si>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</si>
  <si>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</si>
  <si>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</si>
  <si>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</si>
  <si>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</si>
  <si>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</si>
  <si>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</si>
  <si>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</si>
  <si>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</si>
  <si>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</si>
  <si>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</si>
  <si>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</si>
  <si>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</si>
  <si>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</si>
  <si>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</si>
  <si>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</si>
  <si>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</si>
  <si>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</si>
  <si>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</si>
  <si>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</si>
  <si>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</si>
  <si>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</si>
  <si>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</si>
  <si>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</si>
  <si>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</si>
  <si>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</si>
  <si>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</si>
  <si>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</si>
  <si>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</si>
  <si>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</si>
  <si>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</si>
  <si>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</si>
  <si>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</si>
  <si>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</si>
  <si>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</si>
  <si>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</si>
  <si>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</si>
  <si>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</si>
  <si>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</si>
  <si>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</si>
  <si>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</si>
  <si>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</si>
  <si>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</si>
  <si>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</si>
  <si>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</si>
  <si>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</si>
  <si>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</si>
  <si>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</si>
  <si>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</si>
  <si>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</si>
  <si>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</si>
  <si>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</si>
  <si>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</si>
  <si>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</si>
  <si>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</si>
  <si>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</si>
  <si>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</si>
  <si>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</si>
  <si>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</si>
  <si>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</si>
  <si>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</si>
  <si>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</si>
  <si>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</si>
  <si>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</si>
  <si>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</si>
  <si>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</si>
  <si>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</si>
  <si>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</si>
  <si>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</si>
  <si>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</si>
  <si>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</si>
  <si>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</si>
  <si>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</si>
  <si>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</si>
  <si>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</si>
  <si>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</si>
  <si>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</si>
  <si>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</si>
  <si>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</si>
  <si>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</si>
  <si>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</si>
  <si>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</si>
  <si>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</si>
  <si>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</si>
  <si>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</si>
  <si>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</si>
  <si>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</si>
  <si>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</si>
  <si>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</si>
  <si>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</si>
  <si>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</si>
  <si>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</si>
  <si>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</si>
  <si>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</si>
  <si>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</si>
  <si>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</si>
  <si>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</si>
  <si>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</si>
  <si>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</si>
  <si>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</si>
  <si>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</si>
  <si>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</si>
  <si>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</si>
  <si>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</si>
  <si>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</si>
  <si>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</si>
  <si>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</si>
  <si>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</si>
  <si>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</si>
  <si>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</si>
  <si>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</si>
  <si>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</si>
  <si>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</si>
  <si>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</si>
  <si>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</si>
  <si>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</si>
  <si>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</si>
  <si>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</si>
  <si>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</si>
  <si>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</si>
  <si>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</si>
  <si>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</si>
  <si>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</si>
  <si>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</si>
  <si>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</si>
  <si>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</si>
  <si>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</si>
  <si>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</si>
  <si>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</si>
  <si>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</si>
  <si>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</si>
  <si>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</si>
  <si>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</si>
  <si>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</si>
  <si>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</si>
  <si>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</si>
  <si>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</si>
  <si>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</si>
  <si>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</si>
  <si>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</si>
  <si>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</si>
  <si>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</si>
  <si>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</si>
  <si>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</si>
  <si>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</si>
  <si>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</si>
  <si>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</si>
  <si>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</si>
  <si>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</si>
  <si>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</si>
  <si>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</si>
  <si>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</si>
  <si>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</si>
  <si>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</si>
  <si>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</si>
  <si>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</si>
  <si>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</si>
  <si>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</si>
  <si>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</si>
  <si>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</si>
  <si>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</si>
  <si>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</si>
  <si>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</si>
  <si>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</si>
  <si>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</si>
  <si>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</si>
  <si>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</si>
  <si>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</si>
  <si>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</si>
  <si>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</si>
  <si>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</si>
  <si>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</si>
  <si>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</si>
  <si>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</si>
  <si>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</si>
  <si>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</si>
  <si>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</si>
  <si>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</si>
  <si>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</si>
  <si>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</si>
  <si>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</si>
  <si>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</si>
  <si>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</si>
  <si>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</si>
  <si>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</si>
  <si>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</si>
  <si>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</si>
  <si>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</si>
  <si>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</si>
  <si>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</si>
  <si>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</si>
  <si>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</si>
  <si>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</si>
  <si>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</si>
  <si>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</si>
  <si>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</si>
  <si>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</si>
  <si>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</si>
  <si>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</si>
  <si>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</si>
  <si>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</si>
  <si>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</si>
  <si>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</si>
  <si>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</si>
  <si>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</si>
  <si>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</si>
  <si>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</si>
  <si>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</si>
  <si>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</si>
  <si>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</si>
  <si>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</si>
  <si>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</si>
  <si>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</si>
  <si>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</si>
  <si>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</si>
  <si>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</si>
  <si>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</si>
  <si>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</si>
  <si>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</si>
  <si>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</si>
  <si>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</si>
  <si>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</si>
  <si>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</si>
  <si>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</si>
  <si>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</si>
  <si>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</si>
  <si>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</si>
  <si>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</si>
  <si>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</si>
  <si>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</si>
  <si>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</si>
  <si>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</si>
  <si>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</si>
  <si>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</si>
  <si>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</si>
  <si>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</si>
  <si>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</si>
  <si>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</si>
  <si>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</si>
  <si>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</si>
  <si>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</si>
  <si>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</si>
  <si>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</si>
  <si>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</si>
  <si>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</si>
  <si>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</si>
  <si>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</si>
  <si>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</si>
  <si>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</si>
  <si>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</si>
  <si>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</si>
  <si>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</si>
  <si>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</si>
  <si>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</si>
  <si>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</si>
  <si>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</si>
  <si>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</si>
  <si>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</si>
  <si>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</si>
  <si>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</si>
  <si>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</si>
  <si>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</si>
  <si>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</si>
  <si>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</si>
  <si>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</si>
  <si>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</si>
  <si>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</si>
  <si>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</si>
  <si>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</si>
  <si>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</si>
  <si>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</si>
  <si>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</si>
  <si>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</si>
  <si>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</si>
  <si>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</si>
  <si>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</si>
  <si>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</si>
  <si>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</si>
  <si>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</si>
  <si>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</si>
  <si>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</si>
  <si>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</si>
  <si>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</si>
  <si>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</si>
  <si>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</si>
  <si>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</si>
  <si>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</si>
  <si>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</si>
  <si>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</si>
  <si>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</si>
  <si>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</si>
  <si>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</si>
  <si>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</si>
  <si>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</si>
  <si>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</si>
  <si>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</si>
  <si>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</si>
  <si>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</si>
  <si>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</si>
  <si>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</si>
  <si>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</si>
  <si>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</si>
  <si>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</si>
  <si>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</si>
  <si>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</si>
  <si>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</si>
  <si>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</si>
  <si>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</si>
  <si>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</si>
  <si>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</si>
  <si>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</si>
  <si>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</si>
  <si>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</si>
  <si>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</si>
  <si>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</si>
  <si>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</si>
  <si>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</si>
  <si>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</si>
  <si>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</si>
  <si>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</si>
  <si>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</si>
  <si>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</si>
  <si>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</si>
  <si>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</si>
  <si>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</si>
  <si>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</si>
  <si>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</si>
  <si>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</si>
  <si>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</si>
  <si>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</si>
  <si>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</si>
  <si>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</si>
  <si>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</si>
  <si>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</si>
  <si>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</si>
  <si>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</si>
  <si>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</si>
  <si>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</si>
  <si>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</si>
  <si>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</si>
  <si>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</si>
  <si>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</si>
  <si>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</si>
  <si>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</si>
  <si>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</si>
  <si>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</si>
  <si>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</si>
  <si>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</si>
  <si>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</si>
  <si>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</si>
  <si>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</si>
  <si>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</si>
  <si>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</si>
  <si>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</si>
  <si>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</si>
  <si>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</si>
  <si>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</si>
  <si>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</si>
  <si>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</si>
  <si>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</si>
  <si>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</si>
  <si>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</si>
  <si>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</si>
  <si>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</si>
  <si>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</si>
  <si>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</si>
  <si>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</si>
  <si>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</si>
  <si>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</si>
  <si>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</si>
  <si>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</si>
  <si>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</si>
  <si>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</si>
  <si>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</si>
  <si>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</si>
  <si>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</si>
  <si>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</si>
  <si>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</si>
  <si>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</si>
  <si>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</si>
  <si>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</si>
  <si>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</si>
  <si>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</si>
  <si>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</si>
  <si>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</si>
  <si>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</si>
  <si>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</si>
  <si>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</si>
  <si>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</si>
  <si>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</si>
  <si>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</si>
  <si>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</si>
  <si>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</si>
  <si>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</si>
  <si>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</si>
  <si>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</si>
  <si>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</si>
  <si>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</si>
  <si>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</si>
  <si>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</si>
  <si>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</si>
  <si>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</si>
  <si>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</si>
  <si>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</si>
  <si>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</si>
  <si>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</si>
  <si>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</si>
  <si>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</si>
  <si>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</si>
  <si>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</si>
  <si>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</si>
  <si>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</si>
  <si>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</si>
  <si>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</si>
  <si>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</si>
  <si>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</si>
  <si>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</si>
  <si>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</si>
  <si>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</si>
  <si>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</si>
  <si>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</si>
  <si>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</si>
  <si>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</si>
  <si>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</si>
  <si>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</si>
  <si>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</si>
  <si>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</si>
  <si>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</si>
  <si>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</si>
  <si>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</si>
  <si>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</si>
  <si>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</si>
  <si>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</si>
  <si>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</si>
  <si>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</si>
  <si>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</si>
  <si>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</si>
  <si>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</si>
  <si>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</si>
  <si>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</si>
  <si>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</si>
  <si>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</si>
  <si>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</si>
  <si>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</si>
  <si>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</si>
  <si>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</si>
  <si>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</si>
  <si>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</si>
  <si>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</si>
  <si>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</si>
  <si>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</si>
  <si>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</si>
  <si>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</si>
  <si>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</si>
  <si>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</si>
  <si>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</si>
  <si>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</si>
  <si>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</si>
  <si>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</si>
  <si>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</si>
  <si>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</si>
  <si>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</si>
  <si>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</si>
  <si>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</si>
  <si>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</si>
  <si>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</si>
  <si>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</si>
  <si>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</si>
  <si>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</si>
  <si>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</si>
  <si>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</si>
  <si>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</si>
  <si>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</si>
  <si>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</si>
  <si>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</si>
  <si>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</si>
  <si>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</si>
  <si>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</si>
  <si>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</si>
  <si>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</si>
  <si>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</si>
  <si>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</si>
  <si>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</si>
  <si>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</si>
  <si>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</si>
  <si>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</si>
  <si>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</si>
  <si>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</si>
  <si>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</si>
  <si>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</si>
  <si>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</si>
  <si>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</si>
  <si>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</si>
  <si>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</si>
  <si>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</si>
  <si>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</si>
  <si>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</si>
  <si>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</si>
  <si>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</si>
  <si>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</si>
  <si>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</si>
  <si>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</si>
  <si>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</si>
  <si>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</si>
  <si>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</si>
  <si>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</si>
  <si>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</si>
  <si>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</si>
  <si>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</si>
  <si>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</si>
  <si>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</si>
  <si>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</si>
  <si>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</si>
  <si>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</si>
  <si>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</si>
  <si>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</si>
  <si>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</si>
  <si>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</si>
  <si>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</si>
  <si>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</si>
  <si>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</si>
  <si>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</si>
  <si>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</si>
  <si>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</si>
  <si>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</si>
  <si>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</si>
  <si>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</si>
  <si>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</si>
  <si>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</si>
  <si>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</si>
  <si>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</si>
  <si>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</si>
  <si>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</si>
  <si>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</si>
  <si>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</si>
  <si>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</si>
  <si>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</si>
  <si>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</si>
  <si>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</si>
  <si>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</si>
  <si>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</si>
  <si>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</si>
  <si>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</si>
  <si>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</si>
  <si>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</si>
  <si>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</si>
  <si>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</si>
  <si>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</si>
  <si>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</si>
  <si>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</si>
  <si>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</si>
  <si>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</si>
  <si>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</si>
  <si>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</si>
  <si>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</si>
  <si>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</si>
  <si>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</si>
  <si>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</si>
  <si>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</si>
  <si>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</si>
  <si>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</si>
  <si>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</si>
  <si>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</si>
  <si>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</si>
  <si>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</si>
  <si>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</si>
  <si>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</si>
  <si>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</si>
  <si>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</si>
  <si>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</si>
  <si>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</si>
  <si>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</si>
  <si>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</si>
  <si>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</si>
  <si>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</si>
  <si>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</si>
  <si>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</si>
  <si>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</si>
  <si>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</si>
  <si>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</si>
  <si>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</si>
  <si>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</si>
  <si>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</si>
  <si>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</si>
  <si>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</si>
  <si>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</si>
  <si>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</si>
  <si>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</si>
  <si>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</si>
  <si>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</si>
  <si>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</si>
  <si>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</si>
  <si>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</si>
  <si>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</si>
  <si>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</si>
  <si>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</si>
  <si>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</si>
  <si>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</si>
  <si>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</si>
  <si>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</si>
  <si>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</si>
  <si>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</si>
  <si>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</si>
  <si>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</si>
  <si>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</si>
  <si>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</si>
  <si>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</si>
  <si>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</si>
  <si>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</si>
  <si>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</si>
  <si>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</si>
  <si>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</si>
  <si>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</si>
  <si>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</si>
  <si>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</si>
  <si>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</si>
  <si>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</si>
  <si>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</si>
  <si>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</si>
  <si>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</si>
  <si>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</si>
  <si>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</si>
  <si>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</si>
  <si>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</si>
  <si>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</si>
  <si>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</si>
  <si>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</si>
  <si>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</si>
  <si>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</si>
  <si>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</si>
  <si>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</si>
  <si>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</si>
  <si>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</si>
  <si>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</si>
  <si>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</si>
  <si>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</si>
  <si>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</si>
  <si>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</si>
  <si>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</si>
  <si>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</si>
  <si>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</si>
  <si>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</si>
  <si>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</si>
  <si>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</si>
  <si>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</si>
  <si>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</si>
  <si>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</si>
  <si>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</si>
  <si>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</si>
  <si>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</si>
  <si>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</si>
  <si>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</si>
  <si>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</si>
  <si>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</si>
  <si>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</si>
  <si>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</si>
  <si>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</si>
  <si>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</si>
  <si>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</si>
  <si>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</si>
  <si>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</si>
  <si>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</si>
  <si>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</si>
  <si>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</si>
  <si>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</si>
  <si>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</si>
  <si>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</si>
  <si>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</si>
  <si>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</si>
  <si>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</si>
  <si>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</si>
  <si>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</si>
  <si>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</si>
  <si>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</si>
  <si>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</si>
  <si>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</si>
  <si>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</si>
  <si>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</si>
  <si>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</si>
  <si>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</si>
  <si>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</si>
  <si>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</si>
  <si>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</si>
  <si>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</si>
  <si>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</si>
  <si>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</si>
  <si>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</si>
  <si>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</si>
  <si>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</si>
  <si>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</si>
  <si>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</si>
  <si>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</si>
  <si>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</si>
  <si>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</si>
  <si>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</si>
  <si>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</si>
  <si>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</si>
  <si>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</si>
  <si>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</si>
  <si>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</si>
  <si>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</si>
  <si>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</si>
  <si>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</si>
  <si>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</si>
  <si>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</si>
  <si>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</si>
  <si>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</si>
  <si>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</si>
  <si>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</si>
  <si>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</si>
  <si>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</si>
  <si>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</si>
  <si>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</si>
  <si>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</si>
  <si>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</si>
  <si>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</si>
  <si>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</si>
  <si>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</si>
  <si>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</si>
  <si>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</si>
  <si>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</si>
  <si>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</si>
  <si>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</si>
  <si>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</si>
  <si>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</si>
  <si>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</si>
  <si>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</si>
  <si>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</si>
  <si>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</si>
  <si>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</si>
  <si>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</si>
  <si>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</si>
  <si>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</si>
  <si>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</si>
  <si>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</si>
  <si>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</si>
  <si>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</si>
  <si>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</si>
  <si>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</si>
  <si>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</si>
  <si>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</si>
  <si>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</si>
  <si>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</si>
  <si>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</si>
  <si>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</si>
  <si>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</si>
  <si>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</si>
  <si>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</si>
  <si>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</si>
  <si>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</si>
  <si>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</si>
  <si>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</si>
  <si>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</si>
  <si>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</si>
  <si>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</si>
  <si>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</si>
  <si>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</si>
  <si>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</si>
  <si>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</si>
  <si>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</si>
  <si>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</si>
  <si>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</si>
  <si>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</si>
  <si>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</si>
  <si>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</si>
  <si>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</si>
  <si>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</si>
  <si>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</si>
  <si>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</si>
  <si>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</si>
  <si>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</si>
  <si>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</si>
  <si>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</si>
  <si>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</si>
  <si>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</si>
  <si>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</si>
  <si>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</si>
  <si>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</si>
  <si>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</si>
  <si>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</si>
  <si>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</si>
  <si>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</si>
  <si>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</si>
  <si>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</si>
  <si>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</si>
  <si>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</si>
  <si>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</si>
  <si>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</si>
  <si>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</si>
  <si>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</si>
  <si>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</si>
  <si>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</si>
  <si>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</si>
  <si>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</si>
  <si>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</si>
  <si>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</si>
  <si>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</si>
  <si>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</si>
  <si>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</si>
  <si>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</si>
  <si>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</si>
  <si>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</si>
  <si>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</si>
  <si>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</si>
  <si>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</si>
  <si>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</si>
  <si>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</si>
  <si>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</si>
  <si>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</si>
  <si>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</si>
  <si>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</si>
  <si>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</si>
  <si>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</si>
  <si>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</si>
  <si>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</si>
  <si>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</si>
  <si>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</si>
  <si>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</si>
  <si>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</si>
  <si>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</si>
  <si>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</si>
  <si>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</si>
  <si>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</si>
  <si>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</si>
  <si>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</si>
  <si>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</si>
  <si>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</si>
  <si>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</si>
  <si>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</si>
  <si>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</si>
  <si>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</si>
  <si>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</si>
  <si>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</si>
  <si>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</si>
  <si>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</si>
  <si>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</si>
  <si>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</si>
  <si>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</si>
  <si>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</si>
  <si>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</si>
  <si>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</si>
  <si>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</si>
  <si>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</si>
  <si>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</si>
  <si>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</si>
  <si>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</si>
  <si>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</si>
  <si>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</si>
  <si>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</si>
  <si>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</si>
  <si>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</si>
  <si>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</si>
  <si>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</si>
  <si>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</si>
  <si>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</si>
  <si>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</si>
  <si>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</si>
  <si>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</si>
  <si>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</si>
  <si>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</si>
  <si>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</si>
  <si>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</si>
  <si>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</si>
  <si>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</si>
  <si>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</si>
  <si>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</si>
  <si>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</si>
  <si>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</si>
  <si>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</si>
  <si>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</si>
  <si>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</si>
  <si>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</si>
  <si>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</si>
  <si>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</si>
  <si>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</si>
  <si>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</si>
  <si>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</si>
  <si>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</si>
  <si>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</si>
  <si>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</si>
  <si>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</si>
  <si>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</si>
  <si>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</si>
  <si>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</si>
  <si>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</si>
  <si>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</si>
  <si>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</si>
  <si>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</si>
  <si>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</si>
  <si>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</si>
  <si>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</si>
  <si>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</si>
  <si>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</si>
  <si>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</si>
  <si>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</si>
  <si>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</si>
  <si>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</si>
  <si>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</si>
  <si>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</si>
  <si>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</si>
  <si>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</si>
  <si>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</si>
  <si>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</si>
  <si>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</si>
  <si>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</si>
  <si>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</si>
  <si>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</si>
  <si>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</si>
  <si>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</si>
  <si>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</si>
  <si>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</si>
  <si>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</si>
  <si>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</si>
  <si>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</si>
  <si>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</si>
  <si>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</si>
  <si>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</si>
  <si>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</si>
  <si>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</si>
  <si>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</si>
  <si>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</si>
  <si>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</si>
  <si>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</si>
  <si>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</si>
  <si>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</si>
  <si>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</si>
  <si>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</si>
  <si>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</si>
  <si>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</si>
  <si>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</si>
  <si>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</si>
  <si>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</si>
  <si>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</si>
  <si>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</si>
  <si>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</si>
  <si>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</si>
  <si>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</si>
  <si>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</si>
  <si>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</si>
  <si>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</si>
  <si>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</si>
  <si>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</si>
  <si>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</si>
  <si>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</si>
  <si>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</si>
  <si>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</si>
  <si>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</si>
  <si>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</si>
  <si>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</si>
  <si>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</si>
  <si>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</si>
  <si>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</si>
  <si>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</si>
  <si>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</si>
  <si>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</si>
  <si>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</si>
  <si>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</si>
  <si>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</si>
  <si>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</si>
  <si>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</si>
  <si>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</si>
  <si>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</si>
  <si>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</si>
  <si>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</si>
  <si>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</si>
  <si>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</si>
  <si>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</si>
  <si>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</si>
  <si>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</si>
  <si>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</si>
  <si>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</si>
  <si>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</si>
  <si>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</si>
  <si>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</si>
  <si>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</si>
  <si>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</si>
  <si>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</si>
  <si>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</si>
  <si>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</si>
  <si>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</si>
  <si>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</si>
  <si>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</si>
  <si>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</si>
  <si>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</si>
  <si>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</si>
  <si>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</si>
  <si>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</si>
  <si>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</si>
  <si>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</si>
  <si>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</si>
  <si>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</si>
  <si>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</si>
  <si>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</si>
  <si>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</si>
  <si>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</si>
  <si>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</si>
  <si>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</si>
  <si>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</si>
  <si>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</si>
  <si>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</si>
  <si>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</si>
  <si>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</si>
  <si>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</si>
  <si>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</si>
  <si>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</si>
  <si>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</si>
  <si>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</si>
  <si>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</si>
  <si>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</si>
  <si>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</si>
  <si>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</si>
  <si>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</si>
  <si>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</si>
  <si>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</si>
  <si>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</si>
  <si>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</si>
  <si>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</si>
  <si>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</si>
  <si>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</si>
  <si>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</si>
  <si>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</si>
  <si>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</si>
  <si>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</si>
  <si>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</si>
  <si>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</si>
  <si>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</si>
  <si>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</si>
  <si>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</si>
  <si>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</si>
  <si>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</si>
  <si>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</si>
  <si>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</si>
  <si>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</si>
  <si>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</si>
  <si>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</si>
  <si>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</si>
  <si>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</si>
  <si>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</si>
  <si>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</si>
  <si>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</si>
  <si>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</si>
  <si>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</si>
  <si>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</si>
  <si>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</si>
  <si>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</si>
  <si>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</si>
  <si>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</si>
  <si>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</si>
  <si>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</si>
  <si>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</si>
  <si>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</si>
  <si>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</si>
  <si>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</si>
  <si>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</si>
  <si>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</si>
  <si>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</si>
  <si>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</si>
  <si>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</si>
  <si>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</si>
  <si>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</si>
  <si>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</si>
  <si>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</si>
  <si>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</si>
  <si>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</si>
  <si>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</si>
  <si>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</si>
  <si>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</si>
  <si>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</si>
  <si>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</si>
  <si>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</si>
  <si>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</si>
  <si>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</si>
  <si>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</si>
  <si>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</si>
  <si>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</si>
  <si>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</si>
  <si>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</si>
  <si>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</si>
  <si>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</si>
  <si>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</si>
  <si>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</si>
  <si>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</si>
  <si>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</si>
  <si>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</si>
  <si>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</si>
  <si>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</si>
  <si>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</si>
  <si>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</si>
  <si>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</si>
  <si>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</si>
  <si>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</si>
  <si>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</si>
  <si>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</si>
  <si>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</si>
  <si>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</si>
  <si>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</si>
  <si>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</si>
  <si>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</si>
  <si>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</si>
  <si>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</si>
  <si>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</si>
  <si>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</si>
  <si>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</si>
  <si>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</si>
  <si>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</si>
  <si>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</si>
  <si>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</si>
  <si>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</si>
  <si>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</si>
  <si>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</si>
  <si>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</si>
  <si>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</si>
  <si>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</si>
  <si>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</si>
  <si>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</si>
  <si>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</si>
  <si>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</si>
  <si>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</si>
  <si>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</si>
  <si>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</si>
  <si>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</si>
  <si>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</si>
  <si>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</si>
  <si>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</si>
  <si>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</si>
  <si>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</si>
  <si>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</si>
  <si>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</si>
  <si>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</si>
  <si>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</si>
  <si>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</si>
  <si>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</si>
  <si>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</si>
  <si>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</si>
  <si>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</si>
  <si>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</si>
  <si>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</si>
  <si>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</si>
  <si>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</si>
  <si>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</si>
  <si>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</si>
  <si>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</si>
  <si>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</si>
  <si>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</si>
  <si>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</si>
  <si>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</si>
  <si>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</si>
  <si>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</si>
  <si>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</si>
  <si>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</si>
  <si>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</si>
  <si>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</si>
  <si>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</si>
  <si>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</si>
  <si>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</si>
  <si>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</si>
  <si>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</si>
  <si>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</si>
  <si>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</si>
  <si>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</si>
  <si>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</si>
  <si>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</si>
  <si>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</si>
  <si>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</si>
  <si>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</si>
  <si>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</si>
  <si>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</si>
  <si>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</si>
  <si>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</si>
  <si>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</si>
  <si>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</si>
  <si>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</si>
  <si>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</si>
  <si>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</si>
  <si>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</si>
  <si>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</si>
  <si>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</si>
  <si>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</si>
  <si>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</si>
  <si>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</si>
  <si>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</si>
  <si>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</si>
  <si>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</si>
  <si>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</si>
  <si>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</si>
  <si>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</si>
  <si>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</si>
  <si>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</si>
  <si>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</si>
  <si>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</si>
  <si>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</si>
  <si>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</si>
  <si>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</si>
  <si>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</si>
  <si>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</si>
  <si>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</si>
  <si>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</si>
  <si>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</si>
  <si>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</si>
  <si>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</si>
  <si>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</si>
  <si>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</si>
  <si>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</si>
  <si>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</si>
  <si>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</si>
  <si>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</si>
  <si>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</si>
  <si>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</si>
  <si>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</si>
  <si>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</si>
  <si>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</si>
  <si>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</si>
  <si>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</si>
  <si>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</si>
  <si>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</si>
  <si>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</si>
  <si>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</si>
  <si>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</si>
  <si>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</si>
  <si>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</si>
  <si>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</si>
  <si>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</si>
  <si>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</si>
  <si>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</si>
  <si>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</si>
  <si>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</si>
  <si>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</si>
  <si>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</si>
  <si>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</si>
  <si>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</si>
  <si>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</si>
  <si>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</si>
  <si>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</si>
  <si>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</si>
  <si>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</si>
  <si>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</si>
  <si>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</si>
  <si>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</si>
  <si>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</si>
  <si>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</si>
  <si>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</si>
  <si>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</si>
  <si>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</si>
  <si>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</si>
  <si>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</si>
  <si>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</si>
  <si>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</si>
  <si>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</si>
  <si>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</si>
  <si>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</si>
  <si>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</si>
  <si>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</si>
  <si>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</si>
  <si>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</si>
  <si>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</si>
  <si>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</si>
  <si>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</si>
  <si>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</si>
  <si>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</si>
  <si>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</si>
  <si>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</si>
  <si>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</si>
  <si>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</si>
  <si>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</si>
  <si>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</si>
  <si>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</si>
  <si>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</si>
  <si>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</si>
  <si>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</si>
  <si>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</si>
  <si>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</si>
  <si>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</si>
  <si>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</si>
  <si>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</si>
  <si>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</si>
  <si>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</si>
  <si>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</si>
  <si>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</si>
  <si>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</si>
  <si>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</si>
  <si>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</si>
  <si>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</si>
  <si>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</si>
  <si>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</si>
  <si>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</si>
  <si>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</si>
  <si>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</si>
  <si>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</si>
  <si>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</si>
  <si>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</si>
  <si>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</si>
  <si>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</si>
  <si>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</si>
  <si>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</si>
  <si>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</si>
  <si>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</si>
  <si>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</si>
  <si>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</si>
  <si>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</si>
  <si>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</si>
  <si>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</si>
  <si>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</si>
  <si>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</si>
  <si>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</si>
  <si>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</si>
  <si>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</si>
  <si>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</si>
  <si>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</si>
  <si>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</si>
  <si>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</si>
  <si>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</si>
  <si>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</si>
  <si>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</si>
  <si>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</si>
  <si>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</si>
  <si>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</si>
  <si>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</si>
  <si>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</si>
  <si>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</si>
  <si>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</si>
  <si>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</si>
  <si>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</si>
  <si>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</si>
  <si>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</si>
  <si>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</si>
  <si>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</si>
  <si>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</si>
  <si>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</si>
  <si>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</si>
  <si>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</si>
  <si>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</si>
  <si>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</si>
  <si>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</si>
  <si>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</si>
  <si>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</si>
  <si>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</si>
  <si>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</si>
  <si>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</si>
  <si>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</si>
  <si>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</si>
  <si>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</si>
  <si>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</si>
  <si>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</si>
  <si>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</si>
  <si>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</si>
  <si>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</si>
  <si>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</si>
  <si>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</si>
  <si>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</si>
  <si>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</si>
  <si>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</si>
  <si>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</si>
  <si>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</si>
  <si>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</si>
  <si>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</si>
  <si>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</si>
  <si>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</si>
  <si>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</si>
  <si>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</si>
  <si>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</si>
  <si>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</si>
  <si>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</si>
  <si>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</si>
  <si>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</si>
  <si>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</si>
  <si>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</si>
  <si>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</si>
  <si>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</si>
  <si>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</si>
  <si>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</si>
  <si>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</si>
  <si>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</si>
  <si>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</si>
  <si>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</si>
  <si>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</si>
  <si>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</si>
  <si>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</si>
  <si>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</si>
  <si>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</si>
  <si>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</si>
  <si>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</si>
  <si>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</si>
  <si>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</si>
  <si>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</si>
  <si>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</si>
  <si>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</si>
  <si>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</si>
  <si>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</si>
  <si>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</si>
  <si>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</si>
  <si>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</si>
  <si>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</si>
  <si>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</si>
  <si>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</si>
  <si>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</si>
  <si>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</si>
  <si>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</si>
  <si>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</si>
  <si>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</si>
  <si>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</si>
  <si>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</si>
  <si>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</si>
  <si>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</si>
  <si>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</si>
  <si>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</si>
  <si>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</si>
  <si>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</si>
  <si>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</si>
  <si>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</si>
  <si>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</si>
  <si>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</si>
  <si>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</si>
  <si>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</si>
  <si>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</si>
  <si>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</si>
  <si>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</si>
  <si>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</si>
  <si>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</si>
  <si>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</si>
  <si>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</si>
  <si>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</si>
  <si>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</si>
  <si>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</si>
  <si>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</si>
  <si>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</si>
  <si>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</si>
  <si>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</si>
  <si>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</si>
  <si>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</si>
  <si>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</si>
  <si>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</si>
  <si>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</si>
  <si>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</si>
  <si>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</si>
  <si>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</si>
  <si>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</si>
  <si>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</si>
  <si>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</si>
  <si>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</si>
  <si>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</si>
  <si>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</si>
  <si>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</si>
  <si>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</si>
  <si>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</si>
  <si>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</si>
  <si>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</si>
  <si>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</si>
  <si>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</si>
  <si>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</si>
  <si>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</si>
  <si>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</si>
  <si>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</si>
  <si>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</si>
  <si>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</si>
  <si>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</si>
  <si>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</si>
  <si>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</si>
  <si>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</si>
  <si>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</si>
  <si>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</si>
  <si>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</si>
  <si>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</si>
  <si>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</si>
  <si>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</si>
  <si>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</si>
  <si>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</si>
  <si>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</si>
  <si>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</si>
  <si>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</si>
  <si>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</si>
  <si>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</si>
  <si>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</si>
  <si>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</si>
  <si>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</si>
  <si>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</si>
  <si>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</si>
  <si>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</si>
  <si>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</si>
  <si>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</si>
  <si>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</si>
  <si>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</si>
  <si>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</si>
  <si>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</si>
  <si>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</si>
  <si>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</si>
  <si>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</si>
  <si>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</si>
  <si>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</si>
  <si>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</si>
  <si>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</si>
  <si>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</si>
  <si>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</si>
  <si>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</si>
  <si>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</si>
  <si>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</si>
  <si>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</si>
  <si>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</si>
  <si>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</si>
  <si>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</si>
  <si>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</si>
  <si>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</si>
  <si>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</si>
  <si>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</si>
  <si>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</si>
  <si>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</si>
  <si>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</si>
  <si>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</si>
  <si>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</si>
  <si>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</si>
  <si>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</si>
  <si>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</si>
  <si>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</si>
  <si>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</si>
  <si>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</si>
  <si>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</si>
  <si>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</si>
  <si>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</si>
  <si>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</si>
  <si>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</si>
  <si>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</si>
  <si>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</si>
  <si>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</si>
  <si>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</si>
  <si>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</si>
  <si>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</si>
  <si>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</si>
  <si>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</si>
  <si>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</si>
  <si>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</si>
  <si>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</si>
  <si>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</si>
  <si>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</si>
  <si>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</si>
  <si>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</si>
  <si>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</si>
  <si>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</si>
  <si>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</si>
  <si>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</si>
  <si>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</si>
  <si>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</si>
  <si>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</si>
  <si>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</si>
  <si>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</si>
  <si>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</si>
  <si>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</si>
  <si>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</si>
  <si>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</si>
  <si>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</si>
  <si>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</si>
  <si>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</si>
  <si>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</si>
  <si>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</si>
  <si>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</si>
  <si>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</si>
  <si>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</si>
  <si>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</si>
  <si>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</si>
  <si>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</si>
  <si>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</si>
  <si>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</si>
  <si>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</si>
  <si>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</si>
  <si>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</si>
  <si>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</si>
  <si>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</si>
  <si>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</si>
  <si>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</si>
  <si>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</si>
  <si>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</si>
  <si>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</si>
  <si>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</si>
  <si>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</si>
  <si>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</si>
  <si>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</si>
  <si>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</si>
  <si>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</si>
  <si>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</si>
  <si>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</si>
  <si>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</si>
  <si>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</si>
  <si>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</si>
  <si>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</si>
  <si>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</si>
  <si>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</si>
  <si>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</si>
  <si>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</si>
  <si>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</si>
  <si>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</si>
  <si>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</si>
  <si>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</si>
  <si>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</si>
  <si>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</si>
  <si>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</si>
  <si>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</si>
  <si>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</si>
  <si>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</si>
  <si>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</si>
  <si>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</si>
  <si>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</si>
  <si>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</si>
  <si>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</si>
  <si>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</si>
  <si>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</si>
  <si>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</si>
  <si>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</si>
  <si>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</si>
  <si>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</si>
  <si>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</si>
  <si>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</si>
  <si>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</si>
  <si>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</si>
  <si>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</si>
  <si>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</si>
  <si>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</si>
  <si>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</si>
  <si>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</si>
  <si>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</si>
  <si>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</si>
  <si>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</si>
  <si>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</si>
  <si>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</si>
  <si>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</si>
  <si>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</si>
  <si>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</si>
  <si>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</si>
  <si>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</si>
  <si>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</si>
  <si>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</si>
  <si>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</si>
  <si>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</si>
  <si>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</si>
  <si>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</si>
  <si>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</si>
  <si>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</si>
  <si>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</si>
  <si>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</si>
  <si>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</si>
  <si>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</si>
  <si>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</si>
  <si>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</si>
  <si>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</si>
  <si>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</si>
  <si>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</si>
  <si>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</si>
  <si>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</si>
  <si>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</si>
  <si>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</si>
  <si>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</si>
  <si>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</si>
  <si>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</si>
  <si>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</si>
  <si>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</si>
  <si>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</si>
  <si>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</si>
  <si>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</si>
  <si>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</si>
  <si>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</si>
  <si>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</si>
  <si>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</si>
  <si>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</si>
  <si>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</si>
  <si>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</si>
  <si>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</si>
  <si>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</si>
  <si>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</si>
  <si>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</si>
  <si>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</si>
  <si>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</si>
  <si>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</si>
  <si>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</si>
  <si>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</si>
  <si>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</si>
  <si>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</si>
  <si>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</si>
  <si>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</si>
  <si>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</si>
  <si>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</si>
  <si>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</si>
  <si>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</si>
  <si>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</si>
  <si>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</si>
  <si>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</si>
  <si>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</si>
  <si>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</si>
  <si>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</si>
  <si>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</si>
  <si>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</si>
  <si>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</si>
  <si>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</si>
  <si>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</si>
  <si>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</si>
  <si>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</si>
  <si>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</si>
  <si>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</si>
  <si>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</si>
  <si>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</si>
  <si>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</si>
  <si>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</si>
  <si>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</si>
  <si>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</si>
  <si>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</si>
  <si>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</si>
  <si>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</si>
  <si>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</si>
  <si>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</si>
  <si>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</si>
  <si>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</si>
  <si>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</si>
  <si>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</si>
  <si>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</si>
  <si>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</si>
  <si>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</si>
  <si>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</si>
  <si>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</si>
  <si>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</si>
  <si>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</si>
  <si>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</si>
  <si>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</si>
  <si>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</si>
  <si>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</si>
  <si>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</si>
  <si>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</si>
  <si>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</si>
  <si>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</si>
  <si>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</si>
  <si>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</si>
  <si>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</si>
  <si>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</si>
  <si>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</si>
  <si>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</si>
  <si>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</si>
  <si>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</si>
  <si>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</si>
  <si>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</si>
  <si>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</si>
  <si>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</si>
  <si>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</si>
  <si>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</si>
  <si>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</si>
  <si>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</si>
  <si>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</si>
  <si>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</si>
  <si>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</si>
  <si>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</si>
  <si>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</si>
  <si>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</si>
  <si>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</si>
  <si>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</si>
  <si>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</si>
  <si>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</si>
  <si>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</si>
  <si>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</si>
  <si>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</si>
  <si>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</si>
  <si>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</si>
  <si>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</si>
  <si>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</si>
  <si>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</si>
  <si>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</si>
  <si>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</si>
  <si>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</si>
  <si>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</si>
  <si>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</si>
  <si>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</si>
  <si>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</si>
  <si>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</si>
  <si>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</si>
  <si>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</si>
  <si>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</si>
  <si>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</si>
  <si>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</si>
  <si>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</si>
  <si>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</si>
  <si>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</si>
  <si>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</si>
  <si>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</si>
  <si>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</si>
  <si>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</si>
  <si>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</si>
  <si>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</si>
  <si>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</si>
  <si>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</si>
  <si>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</si>
  <si>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</si>
  <si>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</si>
  <si>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</si>
  <si>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</si>
  <si>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</si>
  <si>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</si>
  <si>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</si>
  <si>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</si>
  <si>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</si>
  <si>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</si>
  <si>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</si>
  <si>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</si>
  <si>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</si>
  <si>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</si>
  <si>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</si>
  <si>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</si>
  <si>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</si>
  <si>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</si>
  <si>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</si>
  <si>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</si>
  <si>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</si>
  <si>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</si>
  <si>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</si>
  <si>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</si>
  <si>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</si>
  <si>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</si>
  <si>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</si>
  <si>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</si>
  <si>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</si>
  <si>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</si>
  <si>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</si>
  <si>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</si>
  <si>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</si>
  <si>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</si>
  <si>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</si>
  <si>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</si>
  <si>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</si>
  <si>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</si>
  <si>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</si>
  <si>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</si>
  <si>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</si>
  <si>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</si>
  <si>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</si>
  <si>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</si>
  <si>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</si>
  <si>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</si>
  <si>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</si>
  <si>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</si>
  <si>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</si>
  <si>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</si>
  <si>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</si>
  <si>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</si>
  <si>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</si>
  <si>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</si>
  <si>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</si>
  <si>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</si>
  <si>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</si>
  <si>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</si>
  <si>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</si>
  <si>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</si>
  <si>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</si>
  <si>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</si>
  <si>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</si>
  <si>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</si>
  <si>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</si>
  <si>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</si>
  <si>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</si>
  <si>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</si>
  <si>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</si>
  <si>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</si>
  <si>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</si>
  <si>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</si>
  <si>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</si>
  <si>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</si>
  <si>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</si>
  <si>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</si>
  <si>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</si>
  <si>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</si>
  <si>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</si>
  <si>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</si>
  <si>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</si>
  <si>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</si>
  <si>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</si>
  <si>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</si>
  <si>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</si>
  <si>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</si>
  <si>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</si>
  <si>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</si>
  <si>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</si>
  <si>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</si>
  <si>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</si>
  <si>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</si>
  <si>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</si>
  <si>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</si>
  <si>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</si>
  <si>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</si>
  <si>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</si>
  <si>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</si>
  <si>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</si>
  <si>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</si>
  <si>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</si>
  <si>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</si>
  <si>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</si>
  <si>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</si>
  <si>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</si>
  <si>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</si>
  <si>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</si>
  <si>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</si>
  <si>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</si>
  <si>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</si>
  <si>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</si>
  <si>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</si>
  <si>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</si>
  <si>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</si>
  <si>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</si>
  <si>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</si>
  <si>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</si>
  <si>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</si>
  <si>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</si>
  <si>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</si>
  <si>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</si>
  <si>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</si>
  <si>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</si>
  <si>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</si>
  <si>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</si>
  <si>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</si>
  <si>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</si>
  <si>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</si>
  <si>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</si>
  <si>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</si>
  <si>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</si>
  <si>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</si>
  <si>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</si>
  <si>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</si>
  <si>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</si>
  <si>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</si>
  <si>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</si>
  <si>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</si>
  <si>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</si>
  <si>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</si>
  <si>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</si>
  <si>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</si>
  <si>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</si>
  <si>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</si>
  <si>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</si>
  <si>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</si>
  <si>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</si>
  <si>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</si>
  <si>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</si>
  <si>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</si>
  <si>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</si>
  <si>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</si>
  <si>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</si>
  <si>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</si>
  <si>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</si>
  <si>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</si>
  <si>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</si>
  <si>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</si>
  <si>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</si>
  <si>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</si>
  <si>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</si>
  <si>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</si>
  <si>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</si>
  <si>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</si>
  <si>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</si>
  <si>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</si>
  <si>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</si>
  <si>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</si>
  <si>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</si>
  <si>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</si>
  <si>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</si>
  <si>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</si>
  <si>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</si>
  <si>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</si>
  <si>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</si>
  <si>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</si>
  <si>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</si>
  <si>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</si>
  <si>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</si>
  <si>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</si>
  <si>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</si>
  <si>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</si>
  <si>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</si>
  <si>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</si>
  <si>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</si>
  <si>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</si>
  <si>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</si>
  <si>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</si>
  <si>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</si>
  <si>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</si>
  <si>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</si>
  <si>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</si>
  <si>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</si>
  <si>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</si>
  <si>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</si>
  <si>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</si>
  <si>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</si>
  <si>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</si>
  <si>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</si>
  <si>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</si>
  <si>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</si>
  <si>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</si>
  <si>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</si>
  <si>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</si>
  <si>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</si>
  <si>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</si>
  <si>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</si>
  <si>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</si>
  <si>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</si>
  <si>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</si>
  <si>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</si>
  <si>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</si>
  <si>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</si>
  <si>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</si>
  <si>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</si>
  <si>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</si>
  <si>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</si>
  <si>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</si>
  <si>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</si>
  <si>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</si>
  <si>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</si>
  <si>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</si>
  <si>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</si>
  <si>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</si>
  <si>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</si>
  <si>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</si>
  <si>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</si>
  <si>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</si>
  <si>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</si>
  <si>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</si>
  <si>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</si>
  <si>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</si>
  <si>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</si>
  <si>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</si>
  <si>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</si>
  <si>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</si>
  <si>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</si>
  <si>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</si>
  <si>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</si>
  <si>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</si>
  <si>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</si>
  <si>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</si>
  <si>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</si>
  <si>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</si>
  <si>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</si>
  <si>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</si>
  <si>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</si>
  <si>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</si>
  <si>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</si>
  <si>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</si>
  <si>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</si>
  <si>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</si>
  <si>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</si>
  <si>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</si>
  <si>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</si>
  <si>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</si>
  <si>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</si>
  <si>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</si>
  <si>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</si>
  <si>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</si>
  <si>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</si>
  <si>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</si>
  <si>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</si>
  <si>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</si>
  <si>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</si>
  <si>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</si>
  <si>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</si>
  <si>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</si>
  <si>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</si>
  <si>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</si>
  <si>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</si>
  <si>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</si>
  <si>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</si>
  <si>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</si>
  <si>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</si>
  <si>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</si>
  <si>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</si>
  <si>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</si>
  <si>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</si>
  <si>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</si>
  <si>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</si>
  <si>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</si>
  <si>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</si>
  <si>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</si>
  <si>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</si>
  <si>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</si>
  <si>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</si>
  <si>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</si>
  <si>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</si>
  <si>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</si>
  <si>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</si>
  <si>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</si>
  <si>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</si>
  <si>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</si>
  <si>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</si>
  <si>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</si>
  <si>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</si>
  <si>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</si>
  <si>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</si>
  <si>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</si>
  <si>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</si>
  <si>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</si>
  <si>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</si>
  <si>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</si>
  <si>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</si>
  <si>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</si>
  <si>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</si>
  <si>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</si>
  <si>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</si>
  <si>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</si>
  <si>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</si>
  <si>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</si>
  <si>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</si>
  <si>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</si>
  <si>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</si>
  <si>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</si>
  <si>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</si>
  <si>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</si>
  <si>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</si>
  <si>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</si>
  <si>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</si>
  <si>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</si>
  <si>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</si>
  <si>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</si>
  <si>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</si>
  <si>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</si>
  <si>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</si>
  <si>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</si>
  <si>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</si>
  <si>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</si>
  <si>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</si>
  <si>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</si>
  <si>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</si>
  <si>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</si>
  <si>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</si>
  <si>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</si>
  <si>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</si>
  <si>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</si>
  <si>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</si>
  <si>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</si>
  <si>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</si>
  <si>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</si>
  <si>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</si>
  <si>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</si>
  <si>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</si>
  <si>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</si>
  <si>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</si>
  <si>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</si>
  <si>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</si>
  <si>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</si>
  <si>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</si>
  <si>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</si>
  <si>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</si>
  <si>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</si>
  <si>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</si>
  <si>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</si>
  <si>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</si>
  <si>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</si>
  <si>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</si>
  <si>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</si>
  <si>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</si>
  <si>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</si>
  <si>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</si>
  <si>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</si>
  <si>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</si>
  <si>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</si>
  <si>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</si>
  <si>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</si>
  <si>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</si>
  <si>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</si>
  <si>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</si>
  <si>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</si>
  <si>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</si>
  <si>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</si>
  <si>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</si>
  <si>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</si>
  <si>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</si>
  <si>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</si>
  <si>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</si>
  <si>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</si>
  <si>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</si>
  <si>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</si>
  <si>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</si>
  <si>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</si>
  <si>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</si>
  <si>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</si>
  <si>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</si>
  <si>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</si>
  <si>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</si>
  <si>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</si>
  <si>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</si>
  <si>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</si>
  <si>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</si>
  <si>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</si>
  <si>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</si>
  <si>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</si>
  <si>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</si>
  <si>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</si>
  <si>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</si>
  <si>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</si>
  <si>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</si>
  <si>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</si>
  <si>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</si>
  <si>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</si>
  <si>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</si>
  <si>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</si>
  <si>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</si>
  <si>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</si>
  <si>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</si>
  <si>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</si>
  <si>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</si>
  <si>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</si>
  <si>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</si>
  <si>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</si>
  <si>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</si>
  <si>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</si>
  <si>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</si>
  <si>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</si>
  <si>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</si>
  <si>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</si>
  <si>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</si>
  <si>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</si>
  <si>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</si>
  <si>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</si>
  <si>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</si>
  <si>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</si>
  <si>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</si>
  <si>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</si>
  <si>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</si>
  <si>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</si>
  <si>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</si>
  <si>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</si>
  <si>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</si>
  <si>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</si>
  <si>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</si>
  <si>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</si>
  <si>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</si>
  <si>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</si>
  <si>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</si>
  <si>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</si>
  <si>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</si>
  <si>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</si>
  <si>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</si>
  <si>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</si>
  <si>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</si>
  <si>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</si>
  <si>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</si>
  <si>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</si>
  <si>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</si>
  <si>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</si>
  <si>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</si>
  <si>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</si>
  <si>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</si>
  <si>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</si>
  <si>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</si>
  <si>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</si>
  <si>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</si>
  <si>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</si>
  <si>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</si>
  <si>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</si>
  <si>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</si>
  <si>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</si>
  <si>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</si>
  <si>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</si>
  <si>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</si>
  <si>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</si>
  <si>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</si>
  <si>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</si>
  <si>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</si>
  <si>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</si>
  <si>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</si>
  <si>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</si>
  <si>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</si>
  <si>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</si>
  <si>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</si>
  <si>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</si>
  <si>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</si>
  <si>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</si>
  <si>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</si>
  <si>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</si>
  <si>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</si>
  <si>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</si>
  <si>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</si>
  <si>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</si>
  <si>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</si>
  <si>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</si>
  <si>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</si>
  <si>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</si>
  <si>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</si>
  <si>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</si>
  <si>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</si>
  <si>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</si>
  <si>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</si>
  <si>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</si>
  <si>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</si>
  <si>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</si>
  <si>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</si>
  <si>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</si>
  <si>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</si>
  <si>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</si>
  <si>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</si>
  <si>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</si>
  <si>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</si>
  <si>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</si>
  <si>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</si>
  <si>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</si>
  <si>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</si>
  <si>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</si>
  <si>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</si>
  <si>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</si>
  <si>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</si>
  <si>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</si>
  <si>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</si>
  <si>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</si>
  <si>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</si>
  <si>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</si>
  <si>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</si>
  <si>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</si>
  <si>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</si>
  <si>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</si>
  <si>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</si>
  <si>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</si>
  <si>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</si>
  <si>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</si>
  <si>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</si>
  <si>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</si>
  <si>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</si>
  <si>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</si>
  <si>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</si>
  <si>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</si>
  <si>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</si>
  <si>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</si>
  <si>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</si>
  <si>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</si>
  <si>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</si>
  <si>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</si>
  <si>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</si>
  <si>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</si>
  <si>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</si>
  <si>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</si>
  <si>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</si>
  <si>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</si>
  <si>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</si>
  <si>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</si>
  <si>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</si>
  <si>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</si>
  <si>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</si>
  <si>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</si>
  <si>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</si>
  <si>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</si>
  <si>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</si>
  <si>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</si>
  <si>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</si>
  <si>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</si>
  <si>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</si>
  <si>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</si>
  <si>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</si>
  <si>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</si>
  <si>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</si>
  <si>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</si>
  <si>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</si>
  <si>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</si>
  <si>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</si>
  <si>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</si>
  <si>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</si>
  <si>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</si>
  <si>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</si>
  <si>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</si>
  <si>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</si>
  <si>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</si>
  <si>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</si>
  <si>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</si>
  <si>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</si>
  <si>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</si>
  <si>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</si>
  <si>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</si>
  <si>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</si>
  <si>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</si>
  <si>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</si>
  <si>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</si>
  <si>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</si>
  <si>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</si>
  <si>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</si>
  <si>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</si>
  <si>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</si>
  <si>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</si>
  <si>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</si>
  <si>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</si>
  <si>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</si>
  <si>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</si>
  <si>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</si>
  <si>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</si>
  <si>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</si>
  <si>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</si>
  <si>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</si>
  <si>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</si>
  <si>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</si>
  <si>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</si>
  <si>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</si>
  <si>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</si>
  <si>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</si>
  <si>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</si>
  <si>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</si>
  <si>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</si>
  <si>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</si>
  <si>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</si>
  <si>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</si>
  <si>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</si>
  <si>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</si>
  <si>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</si>
  <si>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</si>
  <si>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</si>
  <si>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</si>
  <si>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</si>
  <si>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</si>
  <si>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</si>
  <si>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</si>
  <si>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</si>
  <si>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</si>
  <si>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</si>
  <si>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</si>
  <si>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</si>
  <si>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</si>
  <si>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</si>
  <si>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</si>
  <si>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</si>
  <si>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</si>
  <si>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</si>
  <si>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</si>
  <si>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</si>
  <si>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</si>
  <si>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</si>
  <si>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</si>
  <si>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</si>
  <si>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</si>
  <si>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</si>
  <si>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</si>
  <si>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</si>
  <si>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</si>
  <si>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</si>
  <si>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</si>
  <si>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</si>
  <si>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</si>
  <si>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</si>
  <si>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</si>
  <si>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</si>
  <si>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</si>
  <si>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</si>
  <si>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</si>
  <si>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</si>
  <si>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</si>
  <si>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</si>
  <si>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</si>
  <si>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</si>
  <si>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</si>
  <si>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</si>
  <si>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</si>
  <si>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</si>
  <si>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</si>
  <si>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</si>
  <si>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</si>
  <si>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</si>
  <si>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</si>
  <si>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</si>
  <si>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</si>
  <si>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</si>
  <si>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</si>
  <si>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</si>
  <si>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</si>
  <si>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</si>
  <si>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</si>
  <si>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</si>
  <si>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</si>
  <si>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</si>
  <si>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</si>
  <si>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</si>
  <si>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</si>
  <si>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</si>
  <si>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</si>
  <si>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</si>
  <si>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</si>
  <si>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</si>
  <si>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</si>
  <si>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</si>
  <si>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</si>
  <si>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</si>
  <si>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</si>
  <si>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</si>
  <si>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</si>
  <si>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</si>
  <si>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</si>
  <si>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</si>
  <si>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</si>
  <si>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</si>
  <si>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</si>
  <si>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</si>
  <si>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</si>
  <si>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</si>
  <si>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</si>
  <si>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</si>
  <si>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</si>
  <si>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</si>
  <si>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</si>
  <si>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</si>
  <si>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</si>
  <si>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</si>
  <si>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</si>
  <si>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</si>
  <si>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</si>
  <si>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</si>
  <si>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</si>
  <si>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</si>
  <si>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</si>
  <si>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</si>
  <si>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</si>
  <si>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</si>
  <si>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</si>
  <si>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</si>
  <si>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</si>
  <si>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</si>
  <si>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</si>
  <si>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</si>
  <si>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</si>
  <si>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</si>
  <si>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</si>
  <si>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</si>
  <si>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</si>
  <si>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</si>
  <si>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</si>
  <si>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</si>
  <si>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</si>
  <si>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</si>
  <si>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</si>
  <si>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</si>
  <si>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</si>
  <si>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</si>
  <si>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</si>
  <si>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</si>
  <si>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</si>
  <si>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</si>
  <si>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</si>
  <si>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</si>
  <si>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</si>
  <si>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</si>
  <si>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</si>
  <si>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</si>
  <si>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</si>
  <si>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</si>
  <si>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</si>
  <si>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</si>
  <si>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</si>
  <si>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</si>
  <si>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</si>
  <si>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</si>
  <si>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</si>
  <si>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</si>
  <si>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</si>
  <si>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</si>
  <si>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</si>
  <si>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</si>
  <si>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</si>
  <si>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</si>
  <si>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</si>
  <si>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</si>
  <si>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Т.Г. Дедов</t>
  </si>
  <si>
    <t>listed</t>
  </si>
  <si>
    <t>not_stated</t>
  </si>
  <si>
    <t>В статье вместо "велярные" используется термин "мягконебные".</t>
  </si>
  <si>
    <t>В статье используется термин "лабиальные" без разделения на губно-губные и губно-зубные, но представлены и губно-губные, и губно-зубные фонемы.</t>
  </si>
  <si>
    <t>Представлены гласные а,и,е,о,у, а также их палатализованные и фарингализованные варианты.</t>
  </si>
  <si>
    <t>[л] смягчается в соседстве с палатализованными согласными. Есть интенсивные согласные, которые являются "реликтом исконного состояния".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</si>
</sst>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</cellXfs>
  <cellStyles count="1">
    <cellStyle name="Обычный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InputForm" displayName="InputForm" ref="A1:I131" totalsRowShown="0" headerRowDxfId="15">
  <autoFilter ref="A1:I131"/>
  <tableColumns count="9">
    <tableColumn id="1" name="feature_id" dataDxfId="14"/>
    <tableColumn id="6" name="Признак" dataDxfId="13">
      <calculatedColumnFormula>VLOOKUP(InputForm[[#This Row],[feature_id]],features[],3,FALSE)</calculatedColumnFormula>
    </tableColumn>
    <tableColumn id="5" name="Тип значения" dataDxfId="12"/>
    <tableColumn id="9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0"/>
    <tableColumn id="7" name="Значение не из фиксированного списка (тип значения custom)" dataDxfId="9"/>
    <tableColumn id="3" name="Комментарий" dataDxfId="8"/>
    <tableColumn id="4" name="Comment in English" dataDxfId="7"/>
    <tableColumn id="8" name="Страницы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5"/>
    <tableColumn id="2" uniqueName="2" name="en" queryTableFieldId="5" dataDxfId="4"/>
    <tableColumn id="3" uniqueName="3" name="ru" queryTableFieldId="6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2"/>
    <tableColumn id="2" uniqueName="2" name="feature_id" queryTableFieldId="6" dataDxfId="1"/>
    <tableColumn id="4" uniqueName="4" name="ru" queryTableFieldId="8" dataDxfId="0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A23" zoomScale="85" zoomScaleNormal="85" workbookViewId="0">
      <selection activeCell="C23" sqref="C23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3904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/>
      <c r="G2" s="4"/>
      <c r="H2" s="3"/>
      <c r="I2" s="4">
        <v>454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3905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15"/>
      <c r="F3" s="15"/>
      <c r="G3" s="15"/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3905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/>
      <c r="F4" s="15"/>
      <c r="G4" s="15"/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3905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/>
      <c r="G5" s="4" t="s">
        <v>3908</v>
      </c>
      <c r="H5" s="3"/>
      <c r="I5" s="3">
        <v>454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3904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/>
      <c r="G6" s="4"/>
      <c r="H6" s="3"/>
      <c r="I6" s="3">
        <v>454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/>
      <c r="F7" s="4"/>
      <c r="G7" s="4"/>
      <c r="H7" s="4"/>
      <c r="I7" s="3">
        <v>454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3904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A-7-2</v>
      </c>
      <c r="E8" s="4" t="s">
        <v>3632</v>
      </c>
      <c r="F8" s="4"/>
      <c r="G8" s="4"/>
      <c r="H8" s="4"/>
      <c r="I8" s="3">
        <v>454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933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/>
      <c r="G9" s="4"/>
      <c r="H9" s="4"/>
      <c r="I9" s="3">
        <v>454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3904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/>
      <c r="G10" s="4"/>
      <c r="H10" s="4"/>
      <c r="I10" s="3">
        <v>454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/>
      <c r="F11" s="4"/>
      <c r="G11" s="4"/>
      <c r="H11" s="4"/>
      <c r="I11" s="3">
        <v>454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3905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15"/>
      <c r="F12" s="15"/>
      <c r="G12" s="15"/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3905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15"/>
      <c r="F13" s="15"/>
      <c r="G13" s="15"/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3904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/>
      <c r="G14" s="4"/>
      <c r="H14" s="4"/>
      <c r="I14" s="5">
        <v>454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/>
      <c r="F15" s="4"/>
      <c r="G15" s="4"/>
      <c r="H15" s="4"/>
      <c r="I15" s="5">
        <v>454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3905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15"/>
      <c r="F16" s="15"/>
      <c r="G16" s="15"/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3904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/>
      <c r="G17" s="4"/>
      <c r="H17" s="4"/>
      <c r="I17" s="5">
        <v>454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3904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A-17-4</v>
      </c>
      <c r="E18" s="4" t="s">
        <v>3902</v>
      </c>
      <c r="F18" s="4"/>
      <c r="G18" s="4"/>
      <c r="H18" s="4"/>
      <c r="I18" s="5">
        <v>454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3904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/>
      <c r="G19" s="4" t="s">
        <v>3907</v>
      </c>
      <c r="H19" s="4"/>
      <c r="I19" s="5">
        <v>454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3905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/>
      <c r="F20" s="15"/>
      <c r="G20" s="15"/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3904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/>
      <c r="G21" s="4" t="s">
        <v>3906</v>
      </c>
      <c r="H21" s="4"/>
      <c r="I21" s="5">
        <v>454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3904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A-21-1</v>
      </c>
      <c r="E22" s="4" t="s">
        <v>3760</v>
      </c>
      <c r="F22" s="4"/>
      <c r="G22" s="4"/>
      <c r="H22" s="4"/>
      <c r="I22" s="5">
        <v>454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3904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A-22-1</v>
      </c>
      <c r="E23" s="4" t="s">
        <v>3764</v>
      </c>
      <c r="F23" s="4"/>
      <c r="G23" s="4" t="s">
        <v>3909</v>
      </c>
      <c r="H23" s="4"/>
      <c r="I23" s="5">
        <v>454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3905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/>
      <c r="F24" s="15"/>
      <c r="G24" s="15"/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3905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15"/>
      <c r="F25" s="15"/>
      <c r="G25" s="15"/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3905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15"/>
      <c r="F26" s="15"/>
      <c r="G26" s="15"/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3905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/>
      <c r="F27" s="15"/>
      <c r="G27" s="15"/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3905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15"/>
      <c r="F28" s="15"/>
      <c r="G28" s="15"/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3905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15"/>
      <c r="F29" s="15"/>
      <c r="G29" s="15"/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3905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15"/>
      <c r="F30" s="15"/>
      <c r="G30" s="15"/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3905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15"/>
      <c r="F31" s="15"/>
      <c r="G31" s="15"/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3905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15"/>
      <c r="F32" s="15"/>
      <c r="G32" s="15"/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3905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/>
      <c r="F33" s="15"/>
      <c r="G33" s="15"/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3905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/>
      <c r="F34" s="15"/>
      <c r="G34" s="15"/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3905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/>
      <c r="F35" s="15"/>
      <c r="G35" s="15"/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3905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/>
      <c r="F36" s="15"/>
      <c r="G36" s="15"/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3905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15"/>
      <c r="F37" s="15"/>
      <c r="G37" s="15"/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3905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/>
      <c r="F38" s="15"/>
      <c r="G38" s="15"/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3905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/>
      <c r="F39" s="15"/>
      <c r="G39" s="15"/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3905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/>
      <c r="F40" s="15"/>
      <c r="G40" s="15"/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3905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/>
      <c r="F41" s="15"/>
      <c r="G41" s="15"/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3905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15"/>
      <c r="F42" s="15"/>
      <c r="G42" s="15"/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3905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15"/>
      <c r="F43" s="15"/>
      <c r="G43" s="15"/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3905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15"/>
      <c r="F44" s="15"/>
      <c r="G44" s="15"/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3905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/>
      <c r="F45" s="15"/>
      <c r="G45" s="15"/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3905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/>
      <c r="F46" s="15"/>
      <c r="G46" s="15"/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3905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/>
      <c r="F47" s="15"/>
      <c r="G47" s="15"/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3905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/>
      <c r="F48" s="15"/>
      <c r="G48" s="15"/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3905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/>
      <c r="F49" s="15"/>
      <c r="G49" s="15"/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3905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/>
      <c r="F50" s="15"/>
      <c r="G50" s="15"/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3905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15"/>
      <c r="F51" s="15"/>
      <c r="G51" s="15"/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3905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15"/>
      <c r="F52" s="15"/>
      <c r="G52" s="15"/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3905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/>
      <c r="F53" s="15"/>
      <c r="G53" s="15"/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3905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/>
      <c r="F54" s="15"/>
      <c r="G54" s="15"/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3905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15"/>
      <c r="F55" s="15"/>
      <c r="G55" s="15"/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3905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15"/>
      <c r="F56" s="15"/>
      <c r="G56" s="15"/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3905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/>
      <c r="F57" s="15"/>
      <c r="G57" s="15"/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3905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/>
      <c r="F58" s="15"/>
      <c r="G58" s="15"/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3905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/>
      <c r="F59" s="15"/>
      <c r="G59" s="15"/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3905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/>
      <c r="F60" s="15"/>
      <c r="G60" s="15"/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3905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/>
      <c r="F61" s="15"/>
      <c r="G61" s="15"/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3905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15"/>
      <c r="F62" s="15"/>
      <c r="G62" s="15"/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3905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/>
      <c r="F63" s="15"/>
      <c r="G63" s="15"/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3905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/>
      <c r="F64" s="15"/>
      <c r="G64" s="15"/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3905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15"/>
      <c r="F65" s="15"/>
      <c r="G65" s="15"/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3905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15"/>
      <c r="F66" s="15"/>
      <c r="G66" s="15"/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3905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15"/>
      <c r="F67" s="15"/>
      <c r="G67" s="15"/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3905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15"/>
      <c r="F68" s="15"/>
      <c r="G68" s="15"/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3905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15"/>
      <c r="F69" s="15"/>
      <c r="G69" s="15"/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3905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15"/>
      <c r="F70" s="15"/>
      <c r="G70" s="15"/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3905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15"/>
      <c r="F71" s="15"/>
      <c r="G71" s="15"/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3905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/>
      <c r="F72" s="15"/>
      <c r="G72" s="15"/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3905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/>
      <c r="F73" s="15"/>
      <c r="G73" s="15"/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3905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15"/>
      <c r="F74" s="15"/>
      <c r="G74" s="15"/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3905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/>
      <c r="F75" s="15"/>
      <c r="G75" s="15"/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3905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/>
      <c r="F76" s="15"/>
      <c r="G76" s="15"/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3905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/>
      <c r="F77" s="15"/>
      <c r="G77" s="15"/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3905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/>
      <c r="F78" s="15"/>
      <c r="G78" s="15"/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3905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15"/>
      <c r="F79" s="15"/>
      <c r="G79" s="15"/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3905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15"/>
      <c r="F80" s="15"/>
      <c r="G80" s="15"/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3905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/>
      <c r="F81" s="15"/>
      <c r="G81" s="15"/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3905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/>
      <c r="F82" s="15"/>
      <c r="G82" s="15"/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3905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/>
      <c r="F83" s="15"/>
      <c r="G83" s="15"/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3905</v>
      </c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/>
      <c r="F84" s="15"/>
      <c r="G84" s="15"/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 t="s">
        <v>3905</v>
      </c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15"/>
      <c r="F85" s="15"/>
      <c r="G85" s="15"/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 t="s">
        <v>3905</v>
      </c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15"/>
      <c r="F86" s="15"/>
      <c r="G86" s="15"/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 t="s">
        <v>3905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/>
      <c r="F87" s="15"/>
      <c r="G87" s="15"/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 t="s">
        <v>3905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15"/>
      <c r="F88" s="15"/>
      <c r="G88" s="15"/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 t="s">
        <v>3905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/>
      <c r="F89" s="15"/>
      <c r="G89" s="15"/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 t="s">
        <v>3905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/>
      <c r="F90" s="15"/>
      <c r="G90" s="15"/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 t="s">
        <v>3905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/>
      <c r="F91" s="15"/>
      <c r="G91" s="15"/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 t="s">
        <v>3905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/>
      <c r="F92" s="15"/>
      <c r="G92" s="15"/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 t="s">
        <v>3905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/>
      <c r="F93" s="15"/>
      <c r="G93" s="15"/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 t="s">
        <v>3905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/>
      <c r="F94" s="15"/>
      <c r="G94" s="15"/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 t="s">
        <v>3905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/>
      <c r="F95" s="15"/>
      <c r="G95" s="15"/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 t="s">
        <v>3905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/>
      <c r="F96" s="15"/>
      <c r="G96" s="15"/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 t="s">
        <v>3905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15"/>
      <c r="F97" s="15"/>
      <c r="G97" s="15"/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 t="s">
        <v>3905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15"/>
      <c r="F98" s="15"/>
      <c r="G98" s="15"/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 t="s">
        <v>3905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15"/>
      <c r="F99" s="15"/>
      <c r="G99" s="15"/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 t="s">
        <v>3905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15"/>
      <c r="F100" s="15"/>
      <c r="G100" s="15"/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 t="s">
        <v>3905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/>
      <c r="F101" s="15"/>
      <c r="G101" s="15"/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 t="s">
        <v>3905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/>
      <c r="F102" s="15"/>
      <c r="G102" s="15"/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 t="s">
        <v>3905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/>
      <c r="F103" s="15"/>
      <c r="G103" s="15"/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 t="s">
        <v>3905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/>
      <c r="F104" s="15"/>
      <c r="G104" s="15"/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 t="s">
        <v>3905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15"/>
      <c r="F105" s="15"/>
      <c r="G105" s="15"/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 t="s">
        <v>3905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15"/>
      <c r="F106" s="15"/>
      <c r="G106" s="15"/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 t="s">
        <v>3905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15"/>
      <c r="F107" s="15"/>
      <c r="G107" s="15"/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 t="s">
        <v>3905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15"/>
      <c r="F108" s="15"/>
      <c r="G108" s="15"/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 t="s">
        <v>3905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/>
      <c r="F109" s="15"/>
      <c r="G109" s="15"/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 t="s">
        <v>3905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/>
      <c r="F110" s="15"/>
      <c r="G110" s="15"/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 t="s">
        <v>3905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/>
      <c r="F111" s="15"/>
      <c r="G111" s="15"/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 t="s">
        <v>3905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15"/>
      <c r="F112" s="15"/>
      <c r="G112" s="15"/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 t="s">
        <v>3905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15"/>
      <c r="F113" s="15"/>
      <c r="G113" s="15"/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 t="s">
        <v>3905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15"/>
      <c r="F114" s="15"/>
      <c r="G114" s="15"/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 t="s">
        <v>3905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15"/>
      <c r="F115" s="15"/>
      <c r="G115" s="15"/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 t="s">
        <v>3905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15"/>
      <c r="F116" s="15"/>
      <c r="G116" s="15"/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 t="s">
        <v>3905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15"/>
      <c r="F117" s="15"/>
      <c r="G117" s="15"/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 t="s">
        <v>3905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15"/>
      <c r="F118" s="15"/>
      <c r="G118" s="15"/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 t="s">
        <v>3905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15"/>
      <c r="F119" s="15"/>
      <c r="G119" s="15"/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 t="s">
        <v>3905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/>
      <c r="F120" s="15"/>
      <c r="G120" s="15"/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 t="s">
        <v>3905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15"/>
      <c r="F121" s="15"/>
      <c r="G121" s="15"/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 t="s">
        <v>3905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15"/>
      <c r="F122" s="15"/>
      <c r="G122" s="15"/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 t="s">
        <v>3905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15"/>
      <c r="F123" s="15"/>
      <c r="G123" s="15"/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 t="s">
        <v>3905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15"/>
      <c r="F124" s="15"/>
      <c r="G124" s="15"/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 t="s">
        <v>3905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/>
      <c r="F125" s="15"/>
      <c r="G125" s="15"/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 t="s">
        <v>3905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15"/>
      <c r="F126" s="15"/>
      <c r="G126" s="15"/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 t="s">
        <v>3905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/>
      <c r="F127" s="15"/>
      <c r="G127" s="15"/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 t="s">
        <v>3905</v>
      </c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4"/>
      <c r="F128" s="14"/>
      <c r="G128" s="15"/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 t="s">
        <v>3905</v>
      </c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9" s="14"/>
      <c r="F129" s="14"/>
      <c r="G129" s="15"/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 t="s">
        <v>3905</v>
      </c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0" s="15"/>
      <c r="F130" s="15"/>
      <c r="G130" s="15"/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3903</v>
      </c>
      <c r="H131" s="3"/>
      <c r="I131" s="6"/>
    </row>
  </sheetData>
  <sheetProtection sheet="1" objects="1" scenarios="1" formatColumns="0" autoFilter="0"/>
  <conditionalFormatting sqref="A1:I1 A3:I4 A2:G2 I2 A5:G5 I5:I11 A6:I200">
    <cfRule type="expression" dxfId="30" priority="16">
      <formula>MID($A1,1,1)&lt;&gt;MID($A2,1,1)</formula>
    </cfRule>
  </conditionalFormatting>
  <conditionalFormatting sqref="C2:C130">
    <cfRule type="expression" dxfId="29" priority="8">
      <formula>ISBLANK(C2)</formula>
    </cfRule>
  </conditionalFormatting>
  <conditionalFormatting sqref="E2:E130">
    <cfRule type="expression" dxfId="28" priority="18">
      <formula>AND(OR($C2="not_stated",$C2="explicit_gap",$C2="not_applicable"),$E2&lt;&gt;"")</formula>
    </cfRule>
    <cfRule type="expression" dxfId="27" priority="19">
      <formula>AND(E2="",C2="listed")</formula>
    </cfRule>
    <cfRule type="expression" dxfId="26" priority="20">
      <formula>$C2="custom"</formula>
    </cfRule>
  </conditionalFormatting>
  <conditionalFormatting sqref="D2:D130">
    <cfRule type="expression" dxfId="25" priority="36">
      <formula>AND(OR($C2="not_stated",$C2="explicit_gap",$C2="not_applicable"),$E2&lt;&gt;"")</formula>
    </cfRule>
    <cfRule type="expression" dxfId="24" priority="37">
      <formula>AND(D2="",C2="listed")</formula>
    </cfRule>
    <cfRule type="expression" dxfId="23" priority="38">
      <formula>$C2="custom"</formula>
    </cfRule>
  </conditionalFormatting>
  <conditionalFormatting sqref="E2:F130">
    <cfRule type="expression" dxfId="22" priority="41">
      <formula>AND($E2&lt;&gt;"",$F2&lt;&gt;"")</formula>
    </cfRule>
    <cfRule type="expression" dxfId="21" priority="42">
      <formula>OR($C2="not_stated",$C2="explicit_gap",$C2="not_applicable")</formula>
    </cfRule>
  </conditionalFormatting>
  <conditionalFormatting sqref="F2:F130">
    <cfRule type="expression" dxfId="20" priority="23">
      <formula>AND(F2&lt;&gt;"",C2&lt;&gt;"custom")</formula>
    </cfRule>
    <cfRule type="expression" dxfId="19" priority="45">
      <formula>AND(OR($C2="not_stated",$C2="explicit_gap",$C2="not_applicable"),$F2&lt;&gt;"")</formula>
    </cfRule>
    <cfRule type="expression" dxfId="18" priority="46">
      <formula>AND(F2="",C2="custom")</formula>
    </cfRule>
    <cfRule type="expression" dxfId="17" priority="47">
      <formula>$C2="listed"</formula>
    </cfRule>
  </conditionalFormatting>
  <conditionalFormatting sqref="G1048576:I1048576 A1048576:E1048576">
    <cfRule type="expression" dxfId="16" priority="52">
      <formula>MID(#REF!,1,1)&lt;&gt;MID($A1,1,1)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2025-06-24T12:45:32Z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